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0" documentId="8_{2E01AAC4-5F55-41BA-99B7-522E525D44C1}" xr6:coauthVersionLast="47" xr6:coauthVersionMax="47" xr10:uidLastSave="{00000000-0000-0000-0000-000000000000}"/>
  <bookViews>
    <workbookView xWindow="-110" yWindow="-110" windowWidth="19420" windowHeight="10300" firstSheet="2" activeTab="4" xr2:uid="{5AF39672-7252-4B39-8D32-632B8F3FCED4}"/>
  </bookViews>
  <sheets>
    <sheet name="Sheet1" sheetId="1" r:id="rId1"/>
    <sheet name="Sheet3" sheetId="3" r:id="rId2"/>
    <sheet name="Base demand" sheetId="5" r:id="rId3"/>
    <sheet name="1st iterative demand (day 11)" sheetId="6" r:id="rId4"/>
    <sheet name="2nd iterative demand on day 21" sheetId="7" r:id="rId5"/>
    <sheet name="Sheet4" sheetId="4" r:id="rId6"/>
    <sheet name="Sheet2" sheetId="2" r:id="rId7"/>
  </sheets>
  <definedNames>
    <definedName name="_xlnm._FilterDatabase" localSheetId="5" hidden="1">Sheet4!$A$1:$R$13916</definedName>
    <definedName name="_xlnm._FilterDatabase" localSheetId="2" hidden="1">'Base demand'!$A$2:$C$101</definedName>
    <definedName name="_xlnm._FilterDatabase" localSheetId="6" hidden="1">Sheet2!$A$1:$S$134</definedName>
    <definedName name="_xlnm._FilterDatabase" localSheetId="0" hidden="1">Sheet1!$A$1:$F$134</definedName>
  </definedNames>
  <calcPr calcId="191028"/>
  <pivotCaches>
    <pivotCache cacheId="35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1" i="2"/>
  <c r="F90" i="2"/>
  <c r="F89" i="2"/>
  <c r="F88" i="2"/>
  <c r="F87" i="2"/>
  <c r="F86" i="2"/>
  <c r="F85" i="2"/>
  <c r="F83" i="2"/>
  <c r="F82" i="2"/>
  <c r="F81" i="2"/>
  <c r="F80" i="2"/>
  <c r="F79" i="2"/>
  <c r="F78" i="2"/>
  <c r="F77" i="2"/>
  <c r="F76" i="2"/>
  <c r="F75" i="2"/>
  <c r="F74" i="2"/>
  <c r="F73" i="2"/>
  <c r="F72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1" i="2"/>
  <c r="F30" i="2"/>
  <c r="F29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8" i="2"/>
  <c r="F32" i="2"/>
  <c r="F71" i="2"/>
  <c r="F84" i="2"/>
  <c r="F92" i="2"/>
  <c r="B102" i="4"/>
  <c r="B101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3" i="4"/>
  <c r="E31" i="2"/>
  <c r="F2" i="1"/>
  <c r="C31" i="1"/>
</calcChain>
</file>

<file path=xl/sharedStrings.xml><?xml version="1.0" encoding="utf-8"?>
<sst xmlns="http://schemas.openxmlformats.org/spreadsheetml/2006/main" count="1871" uniqueCount="223">
  <si>
    <t>SKUCode</t>
  </si>
  <si>
    <t>SKU Description</t>
  </si>
  <si>
    <t>Requirement</t>
  </si>
  <si>
    <t>Order Type</t>
  </si>
  <si>
    <t>Market</t>
  </si>
  <si>
    <t>Delivery date</t>
  </si>
  <si>
    <t>1225221715115SSTL0</t>
  </si>
  <si>
    <t>215/75R15_STEELKING_10PR_S_TL</t>
  </si>
  <si>
    <t>MTS</t>
  </si>
  <si>
    <t>Replacement</t>
  </si>
  <si>
    <t>1225121Z14112LSTL0</t>
  </si>
  <si>
    <t>215R14_STEELKING_10PR_L_TT</t>
  </si>
  <si>
    <t>1325221715100SRHT0</t>
  </si>
  <si>
    <t>215/75 R 15_RANGER H/T _100_S_TL</t>
  </si>
  <si>
    <t>1325217514082TUTR0</t>
  </si>
  <si>
    <t>175/65R14_UX TOURING_82T TL</t>
  </si>
  <si>
    <t>1325223616105HRHT0</t>
  </si>
  <si>
    <t>235/70 R16_RANGER H/T _105_H_TL</t>
  </si>
  <si>
    <t>1225121715115SSTL0</t>
  </si>
  <si>
    <t>215/75R15_STEELKING_10PR_S_TT</t>
  </si>
  <si>
    <t>1325121715100SRBT0</t>
  </si>
  <si>
    <t>215/75R15 RANGER BRT_TT</t>
  </si>
  <si>
    <t>1325119015008SRBT0</t>
  </si>
  <si>
    <t>195/80R15 RANGER BRT TT</t>
  </si>
  <si>
    <t>1325221715100SRXT0</t>
  </si>
  <si>
    <t>215/75R15 _RANGER X-A/T_100 S_TL</t>
  </si>
  <si>
    <t>1225222716121MXC11</t>
  </si>
  <si>
    <t>225/75R16_ULTIMA XPC1_10PR_M_TL</t>
  </si>
  <si>
    <t>1325217415081HUTR0</t>
  </si>
  <si>
    <t>175/60R15_UX TOURING_81H TL</t>
  </si>
  <si>
    <t>1225119015010QSTL0</t>
  </si>
  <si>
    <t>195R15LT_STEELKING_112_110_Q_10PR_TT</t>
  </si>
  <si>
    <t>1425118916008QRBT0</t>
  </si>
  <si>
    <t>185/85R16 RANGER BRT_TT</t>
  </si>
  <si>
    <t>1325216513077TUHL0</t>
  </si>
  <si>
    <t>165/65R13_ ULTIMA HI^LIFE _77 T TL</t>
  </si>
  <si>
    <t>1325214813075SUNE1</t>
  </si>
  <si>
    <t>145/80R13_Ultima Neo NextGen_75S_4Rib_TL</t>
  </si>
  <si>
    <t>MTO</t>
  </si>
  <si>
    <t>OE</t>
  </si>
  <si>
    <t>1325114613071TTMX0</t>
  </si>
  <si>
    <t>145/70R13_TAXIMAX_71 T_TT</t>
  </si>
  <si>
    <t>1225221716010SXC10</t>
  </si>
  <si>
    <t>215/75R16C_ULTIMA XPC1 _ TL_PLT_ TML</t>
  </si>
  <si>
    <t>1325220516095HUTR0</t>
  </si>
  <si>
    <t>205/65R16_UX TOURING_95H TL</t>
  </si>
  <si>
    <t>1325123715105SBRT0</t>
  </si>
  <si>
    <t>235/75R15 BRUTE 4X4_105_S_TT</t>
  </si>
  <si>
    <t>1325215813079STMX0</t>
  </si>
  <si>
    <t>155/80 R13_TAXIMAX_79 S TL</t>
  </si>
  <si>
    <t>1325221416095VURL0</t>
  </si>
  <si>
    <t>215/60 R 16 _UX ROYALE_95_V_TL</t>
  </si>
  <si>
    <t>1325213612065SULX1</t>
  </si>
  <si>
    <t>135/70R12 Ultima LXT 65S TL FOR BAL</t>
  </si>
  <si>
    <t>1325221417100HURS0</t>
  </si>
  <si>
    <t>215/60R17 UX ROYALE SMART_100_H_TL</t>
  </si>
  <si>
    <t>1325119815106QBRQ0</t>
  </si>
  <si>
    <t>195/80R15 BRUTE TT</t>
  </si>
  <si>
    <t>1225121716010SXC10</t>
  </si>
  <si>
    <t>215/75R16_ULTIMA XPC1_10PR_S_TT</t>
  </si>
  <si>
    <t>1325218515088TURL0</t>
  </si>
  <si>
    <t>185/65R15_88T_UX ROYALE_ TL</t>
  </si>
  <si>
    <t>1325114612069TUHL0</t>
  </si>
  <si>
    <t>145/70R12_ ULTIMA HI^LIFE _69 T_TT</t>
  </si>
  <si>
    <t>1325221416095VURS0</t>
  </si>
  <si>
    <t>215/60R16 UX ROYALE SMART_95_V_TL</t>
  </si>
  <si>
    <t>1325216814085TURS0</t>
  </si>
  <si>
    <t>165/80R14 UX ROYALE SMART_85_T_TL</t>
  </si>
  <si>
    <t>1225170015010LSTL0</t>
  </si>
  <si>
    <t>7.00R15_STEEL KING_10PR_L_TT</t>
  </si>
  <si>
    <t>1325214812074TTMX0</t>
  </si>
  <si>
    <t>145/80R12 TAXIMAX_74 T_TL</t>
  </si>
  <si>
    <t>1325218515088TURS0</t>
  </si>
  <si>
    <t>185/65R15 UX ROYALE SMART_88_T_TL</t>
  </si>
  <si>
    <t>1325222417099HURL0</t>
  </si>
  <si>
    <t>225/60R17_UX ROYALE_99 H TL</t>
  </si>
  <si>
    <t>1325218415084TTMX0</t>
  </si>
  <si>
    <t>185/60 R15_TAXIMAX_84 T TL</t>
  </si>
  <si>
    <t>1325223517104HRPG0</t>
  </si>
  <si>
    <t>235/65R17_RANGER HT PUNCTURE GUARD_104H</t>
  </si>
  <si>
    <t>1325215813079SUHL0</t>
  </si>
  <si>
    <t>155/80 R13_ULTIMA HI^LIFE_79 S TL</t>
  </si>
  <si>
    <t>1325223517104HRHT0</t>
  </si>
  <si>
    <t>235/65 R17_RANGER H/T _104_H_TL</t>
  </si>
  <si>
    <t>1225170015012LSTL0</t>
  </si>
  <si>
    <t>7.00R15_STEELKING_12PR_L_TT</t>
  </si>
  <si>
    <t>1325218614088HURL0</t>
  </si>
  <si>
    <t>185/70 R14_UX ROYALE_88_H_TL</t>
  </si>
  <si>
    <t>1325216614081STMX0</t>
  </si>
  <si>
    <t>165/70R14_ TAXIMAX _81 S TL</t>
  </si>
  <si>
    <t>1325217514082HURP0</t>
  </si>
  <si>
    <t>175/65R14_UX ROYALE PUNCTURE GUARD_82H</t>
  </si>
  <si>
    <t>1325221317098VUX10</t>
  </si>
  <si>
    <t>215/55R17 _UX1_98 V TL</t>
  </si>
  <si>
    <t>1325216814085SUTR0</t>
  </si>
  <si>
    <t>165/80R14_UX TOURING_85S TL</t>
  </si>
  <si>
    <t>1325217614084HURL1</t>
  </si>
  <si>
    <t>175/70R14 UX Royale 84 H</t>
  </si>
  <si>
    <t>1325214813075STMX0</t>
  </si>
  <si>
    <t>145/80 R13_TAXIMAX_75 S TL</t>
  </si>
  <si>
    <t>1325226517112HRHT0</t>
  </si>
  <si>
    <t>265/65 R17_RANGER H/T _112_H_TL</t>
  </si>
  <si>
    <t>1225219015010QSTL0</t>
  </si>
  <si>
    <t>195R15LT_STEELKING_112_110_Q_10PR_TL</t>
  </si>
  <si>
    <t>1325121715100SRXT0</t>
  </si>
  <si>
    <t>215/75R15 _RANGER X-A/T_100 S_TT</t>
  </si>
  <si>
    <t>1325216814085TURL0</t>
  </si>
  <si>
    <t>165/80R14_UX ROYALE_85T_MSIL_4Rib_TL</t>
  </si>
  <si>
    <t>1325121715115SLTB0</t>
  </si>
  <si>
    <t>215/75R15 BRUTE_10PR_L_TT</t>
  </si>
  <si>
    <t>1325219316087VURP0</t>
  </si>
  <si>
    <t>195/55R16_UX ROYALE PUNCTURE GUARD_87V</t>
  </si>
  <si>
    <t>1325221417100HURL1</t>
  </si>
  <si>
    <t>215/60R17_UX ROYALE _100H XL TL_DOM REPL</t>
  </si>
  <si>
    <t>1325215513073TUHL0</t>
  </si>
  <si>
    <t>155/65R13_ ULTIMA HI^LIFE _73 T TL</t>
  </si>
  <si>
    <t>1325215613075TUHL0</t>
  </si>
  <si>
    <t>155/70R13_ULTIMA HI^LIFE_75T TL</t>
  </si>
  <si>
    <t>1325223715105SRXT0</t>
  </si>
  <si>
    <t>235/75R15 _RANGER X-A/T_105 S_TL</t>
  </si>
  <si>
    <t>1325219416089HRHE0</t>
  </si>
  <si>
    <t>195/60R16_RANGER HPE_89H TL_TML</t>
  </si>
  <si>
    <t>1325218515088HUTR0</t>
  </si>
  <si>
    <t>185/65R15_UX TOURING_88H TL</t>
  </si>
  <si>
    <t>1325220316091VURL1</t>
  </si>
  <si>
    <t>205/55R16 UX Royale 91V</t>
  </si>
  <si>
    <t>1325220515094VUTR0</t>
  </si>
  <si>
    <t>205/65R15_UX TOURING_94V TL</t>
  </si>
  <si>
    <t>1325216514079TTMX0</t>
  </si>
  <si>
    <t>165/65 R14_TAXIMAX_79 T TL</t>
  </si>
  <si>
    <t>1D25212812086FXPC0</t>
  </si>
  <si>
    <t>120/80R12_ULTIMA XPC_86F_TL</t>
  </si>
  <si>
    <t>1325219316087VUTR0</t>
  </si>
  <si>
    <t>195/55 R16 UX TOURING_87_V_TL</t>
  </si>
  <si>
    <t>1325123715105SRXT0</t>
  </si>
  <si>
    <t>235/75R15 _RANGER X-A/T_105 S_TT</t>
  </si>
  <si>
    <t>1325218515088HURP0</t>
  </si>
  <si>
    <t>185/65R15_UX ROYALE PUNCTURE GUARD_88H</t>
  </si>
  <si>
    <t>1325217413077TUSP0</t>
  </si>
  <si>
    <t>175/60R13_ULTIMA SPORT_77_T_TL</t>
  </si>
  <si>
    <t>1325217514082TTMX0</t>
  </si>
  <si>
    <t>175/65 R14_TAXIMAX_82_T_TL</t>
  </si>
  <si>
    <t>1325216614081SUTR0</t>
  </si>
  <si>
    <t>165/70R14_ UX TOURING _81 S TL</t>
  </si>
  <si>
    <t>1225223516121PSKP0</t>
  </si>
  <si>
    <t>235/65R16_STEELKING+_121P TL</t>
  </si>
  <si>
    <t>1325121715100SBRT0</t>
  </si>
  <si>
    <t>215/75R15 BRUTE 4X4_100_S_TT</t>
  </si>
  <si>
    <t>1325214612069TUHL0</t>
  </si>
  <si>
    <t>145/70R12 ULTIMA HI^LIFE _69 T_TL</t>
  </si>
  <si>
    <t>1D25215Z13008QXPC0</t>
  </si>
  <si>
    <t>155R13_ULTIMA XPC_8PR_Q_TL</t>
  </si>
  <si>
    <t>1D25212812074FXC10</t>
  </si>
  <si>
    <t>120/80R12_ULTIMA-XPC1_74F_TL</t>
  </si>
  <si>
    <t>1D25213812090FXPC0</t>
  </si>
  <si>
    <t>130/80R12 _ Ultima XPC_90 F _TL_BAJAJ</t>
  </si>
  <si>
    <t>1325215613075TTMX0</t>
  </si>
  <si>
    <t>155/70R13_TAXIMAX_75 T_TL</t>
  </si>
  <si>
    <t>1325217515084HURP0</t>
  </si>
  <si>
    <t>175/65R15_UX ROYALE PUNCTURE GUARD_84H</t>
  </si>
  <si>
    <t>1325214613071TTMX0</t>
  </si>
  <si>
    <t>145/70R13_TAXIMAX_71T TL</t>
  </si>
  <si>
    <t>1325217514082TVECH</t>
  </si>
  <si>
    <t>175/65R14 Vectra 82 T TL HONDA 2UA</t>
  </si>
  <si>
    <t>1325114812074TUHL0</t>
  </si>
  <si>
    <t>145/80R12 ULTIMA HI^LIFE_TT</t>
  </si>
  <si>
    <t>1D25115013008QXPC0</t>
  </si>
  <si>
    <t>155R13_ULTIMA XPC_8PR_Q_TT</t>
  </si>
  <si>
    <t>1325220516095HTMX0</t>
  </si>
  <si>
    <t>205/65R16_TAXIMAX_95 H TL</t>
  </si>
  <si>
    <t>1325220515094VTMX0</t>
  </si>
  <si>
    <t>205/65R15_TAXIMAX_94 V_TL</t>
  </si>
  <si>
    <t>1325216814085STMX0</t>
  </si>
  <si>
    <t>165/80 R14_TAXIMAX_85 S TL</t>
  </si>
  <si>
    <t>1325220416092VURL0</t>
  </si>
  <si>
    <t>205/60 R16_UX ROYALE_92_V_TL</t>
  </si>
  <si>
    <t>1325220515094VZEP0</t>
  </si>
  <si>
    <t>205/65 R 15 94V ZEPHYR TUBELESS</t>
  </si>
  <si>
    <t>1325213615099MSXT0</t>
  </si>
  <si>
    <t>135/70R15 STAR XT_99M TL</t>
  </si>
  <si>
    <t>1325218515088HTMX0</t>
  </si>
  <si>
    <t>185/65 R15_TAXIMAX_88 H TL</t>
  </si>
  <si>
    <t>1325219316087VURL0</t>
  </si>
  <si>
    <t>195/55 R16_UX ROYALE_87_V_TL</t>
  </si>
  <si>
    <t>1325214812074TUHL0</t>
  </si>
  <si>
    <t>145/80R12 ULTIMA HI^LIFE_TL</t>
  </si>
  <si>
    <t>1D25214012006QXC10</t>
  </si>
  <si>
    <t>145R12LT_ULTIMAXPC1_TL_6PR_80_78Q_TML</t>
  </si>
  <si>
    <t>Export</t>
  </si>
  <si>
    <t>1225175016012NJTL0</t>
  </si>
  <si>
    <t>7.50R16LT_ JUH STEEL_12 PR_121/120 N_TT</t>
  </si>
  <si>
    <t>1325220515094VURL1</t>
  </si>
  <si>
    <t>205/65R15 UX Royale 94V</t>
  </si>
  <si>
    <t>1225221615008QXC10</t>
  </si>
  <si>
    <t>215/70R15C ULTIMA XPC-1 109/107 Q TL</t>
  </si>
  <si>
    <t>1225222615008RXC10</t>
  </si>
  <si>
    <t>225/70R15C ULTIMA XPC-1 112/110 R TL</t>
  </si>
  <si>
    <t>1325223916120QRAB0</t>
  </si>
  <si>
    <t>LT 235/85R16_RANGER AT2 _120/116 Q TL</t>
  </si>
  <si>
    <t>1325220416092VURP0</t>
  </si>
  <si>
    <t>205/60R16_UX ROYALE PUNCTURE GUARD_92V</t>
  </si>
  <si>
    <t>1325217613082TUNE2</t>
  </si>
  <si>
    <t>175/70R13_ULTIMA NEO_82_T_4RIB_TL_ EXPOR</t>
  </si>
  <si>
    <t>1325222317101VUX10</t>
  </si>
  <si>
    <t>225/55R17 _UX1_101 V TL</t>
  </si>
  <si>
    <t>1225220Z16008RXC10</t>
  </si>
  <si>
    <t>205R16C ULTIMA XPC1 110/108 R TL</t>
  </si>
  <si>
    <t>235/65R16_STEELKING+_TL</t>
  </si>
  <si>
    <t>1225219015008SLTB0</t>
  </si>
  <si>
    <t>195-R15_BRUTE LT_8PR S TL</t>
  </si>
  <si>
    <t>Sum of Requirement</t>
  </si>
  <si>
    <t>Max of ConsolidatedPriorityScore</t>
  </si>
  <si>
    <t>(blank)</t>
  </si>
  <si>
    <t>Grand Total</t>
  </si>
  <si>
    <t>Updated_Requirement</t>
  </si>
  <si>
    <t>ConsolidatedPriorityScore</t>
  </si>
  <si>
    <t>1325217613082TUNE0</t>
  </si>
  <si>
    <t>1325217514082HURL2</t>
  </si>
  <si>
    <t>1325218515088HURL1</t>
  </si>
  <si>
    <t>1D25215013008SXC11</t>
  </si>
  <si>
    <t>Anmol</t>
  </si>
  <si>
    <t>Tomar ji</t>
  </si>
  <si>
    <t>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</si>
</sst>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0000000"/>
    <numFmt numFmtId="173" formatCode="0.00000000000"/>
  </numFmts>
  <fonts count="3">
    <font>
      <sz val="11"/>
      <color theme="1"/>
      <name val="Aptos Narrow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1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1" fontId="0" fillId="3" borderId="0" xfId="0" applyNumberFormat="1" applyFill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1" fontId="0" fillId="0" borderId="0" xfId="0" applyNumberFormat="1"/>
    <xf numFmtId="170" fontId="0" fillId="0" borderId="0" xfId="0" applyNumberFormat="1" applyAlignment="1">
      <alignment horizontal="left"/>
    </xf>
    <xf numFmtId="173" fontId="0" fillId="0" borderId="0" xfId="0" applyNumberFormat="1" applyAlignment="1">
      <alignment horizontal="left"/>
    </xf>
    <xf numFmtId="170" fontId="0" fillId="3" borderId="0" xfId="0" applyNumberFormat="1" applyFill="1" applyAlignment="1">
      <alignment horizontal="left"/>
    </xf>
    <xf numFmtId="0" fontId="0" fillId="4" borderId="0" xfId="0" applyFill="1" applyAlignment="1">
      <alignment horizontal="left"/>
    </xf>
    <xf numFmtId="1" fontId="0" fillId="4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6.432038078703" createdVersion="8" refreshedVersion="8" minRefreshableVersion="3" recordCount="134" xr:uid="{70CE9C96-7429-4820-8061-6FE3D69BED69}">
  <cacheSource type="worksheet">
    <worksheetSource ref="A1:F1048576" sheet="Sheet2"/>
  </cacheSource>
  <cacheFields count="6">
    <cacheField name="SKUCode" numFmtId="0">
      <sharedItems containsBlank="1" count="100">
        <s v="1225221715115SSTL0"/>
        <s v="1225121Z14112LSTL0"/>
        <s v="1325221715100SRHT0"/>
        <s v="1325217514082TUTR0"/>
        <s v="1325223616105HRHT0"/>
        <s v="1225121715115SSTL0"/>
        <s v="1325121715100SRBT0"/>
        <s v="1325119015008SRBT0"/>
        <s v="1325221715100SRXT0"/>
        <s v="1225222716121MXC11"/>
        <s v="1325217415081HUTR0"/>
        <s v="1225119015010QSTL0"/>
        <s v="1425118916008QRBT0"/>
        <s v="1325216513077TUHL0"/>
        <s v="1325214813075SUNE1"/>
        <s v="1325114613071TTMX0"/>
        <s v="1225221716010SXC10"/>
        <s v="1325220516095HUTR0"/>
        <s v="1325123715105SBRT0"/>
        <s v="1325215813079STMX0"/>
        <s v="1325221416095VURL0"/>
        <s v="1325213612065SULX1"/>
        <s v="1325221417100HURS0"/>
        <s v="1325119815106QBRQ0"/>
        <s v="1225121716010SXC10"/>
        <s v="1325218515088TURL0"/>
        <s v="1325114612069TUHL0"/>
        <s v="1325221416095VURS0"/>
        <s v="1325216814085TURS0"/>
        <s v="1225170015010LSTL0"/>
        <s v="1325214812074TTMX0"/>
        <s v="1325218515088TURS0"/>
        <s v="1325222417099HURL0"/>
        <s v="1325218415084TTMX0"/>
        <s v="1325223517104HRPG0"/>
        <s v="1325215813079SUHL0"/>
        <s v="1325223517104HRHT0"/>
        <s v="1225170015012LSTL0"/>
        <s v="1325218614088HURL0"/>
        <s v="1325216614081STMX0"/>
        <s v="1325217514082HURP0"/>
        <s v="1325221317098VUX10"/>
        <s v="1325216814085SUTR0"/>
        <s v="1325217614084HURL1"/>
        <s v="1325214813075STMX0"/>
        <s v="1325226517112HRHT0"/>
        <s v="1225219015010QSTL0"/>
        <s v="1325121715100SRXT0"/>
        <s v="1325216814085TURL0"/>
        <s v="1325121715115SLTB0"/>
        <s v="1325219316087VURP0"/>
        <s v="1325221417100HURL1"/>
        <s v="1325215513073TUHL0"/>
        <s v="1325215613075TUHL0"/>
        <s v="1325223715105SRXT0"/>
        <s v="1325219416089HRHE0"/>
        <s v="1325218515088HUTR0"/>
        <s v="1325220316091VURL1"/>
        <s v="1325220515094VUTR0"/>
        <s v="1325216514079TTMX0"/>
        <s v="1D25212812086FXPC0"/>
        <s v="1325219316087VUTR0"/>
        <s v="1325123715105SRXT0"/>
        <s v="1325218515088HURP0"/>
        <s v="1325217413077TUSP0"/>
        <s v="1325217514082TTMX0"/>
        <s v="1325216614081SUTR0"/>
        <s v="1225223516121PSKP0"/>
        <s v="1325121715100SBRT0"/>
        <s v="1325214612069TUHL0"/>
        <s v="1D25215Z13008QXPC0"/>
        <s v="1D25212812074FXC10"/>
        <s v="1D25213812090FXPC0"/>
        <s v="1325215613075TTMX0"/>
        <s v="1325217515084HURP0"/>
        <s v="1325214613071TTMX0"/>
        <s v="1325217514082TVECH"/>
        <s v="1325114812074TUHL0"/>
        <s v="1D25115013008QXPC0"/>
        <s v="1325220516095HTMX0"/>
        <s v="1325220515094VTMX0"/>
        <s v="1325216814085STMX0"/>
        <s v="1325220416092VURL0"/>
        <s v="1325220515094VZEP0"/>
        <s v="1325213615099MSXT0"/>
        <s v="1325218515088HTMX0"/>
        <s v="1325219316087VURL0"/>
        <s v="1325214812074TUHL0"/>
        <s v="1D25214012006QXC10"/>
        <s v="1225175016012NJTL0"/>
        <s v="1325220515094VURL1"/>
        <s v="1225221615008QXC10"/>
        <s v="1225222615008RXC10"/>
        <s v="1325223916120QRAB0"/>
        <s v="1325220416092VURP0"/>
        <s v="1325217613082TUNE2"/>
        <s v="1325222317101VUX10"/>
        <s v="1225220Z16008RXC10"/>
        <s v="1225219015008SLTB0"/>
        <m/>
      </sharedItems>
    </cacheField>
    <cacheField name="SKU Description" numFmtId="0">
      <sharedItems containsBlank="1"/>
    </cacheField>
    <cacheField name="Order Type" numFmtId="0">
      <sharedItems containsBlank="1"/>
    </cacheField>
    <cacheField name="Market" numFmtId="0">
      <sharedItems containsBlank="1"/>
    </cacheField>
    <cacheField name="Requirement" numFmtId="0">
      <sharedItems containsString="0" containsBlank="1" containsNumber="1" containsInteger="1" minValue="0" maxValue="55000"/>
    </cacheField>
    <cacheField name="ConsolidatedPriorityScore" numFmtId="0">
      <sharedItems containsString="0" containsBlank="1" containsNumber="1" minValue="2" maxValue="4.08026677758075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s v="215/75R15_STEELKING_10PR_S_TL"/>
    <s v="MTS"/>
    <s v="Replacement"/>
    <n v="11846"/>
    <n v="2.0172880044949397"/>
  </r>
  <r>
    <x v="1"/>
    <s v="215R14_STEELKING_10PR_L_TT"/>
    <s v="MTS"/>
    <s v="Replacement"/>
    <n v="1802"/>
    <n v="2.0026298315127367"/>
  </r>
  <r>
    <x v="2"/>
    <s v="215/75 R 15_RANGER H/T _100_S_TL"/>
    <s v="MTS"/>
    <s v="Replacement"/>
    <n v="20000"/>
    <n v="2.0291879191202762"/>
  </r>
  <r>
    <x v="3"/>
    <s v="175/65R14_UX TOURING_82T TL"/>
    <s v="MTS"/>
    <s v="Replacement"/>
    <n v="5000"/>
    <n v="2.0072969797800688"/>
  </r>
  <r>
    <x v="4"/>
    <s v="235/70 R16_RANGER H/T _105_H_TL"/>
    <s v="MTS"/>
    <s v="Replacement"/>
    <n v="2847"/>
    <n v="2.0041549002867711"/>
  </r>
  <r>
    <x v="5"/>
    <s v="215/75R15_STEELKING_10PR_S_TT"/>
    <s v="MTS"/>
    <s v="Replacement"/>
    <n v="5668"/>
    <n v="2.0082718562786863"/>
  </r>
  <r>
    <x v="6"/>
    <s v="215/75R15 RANGER BRT_TT"/>
    <s v="MTS"/>
    <s v="Replacement"/>
    <n v="5000"/>
    <n v="2.0072969797800688"/>
  </r>
  <r>
    <x v="7"/>
    <s v="195/80R15 RANGER BRT TT"/>
    <s v="MTS"/>
    <s v="Replacement"/>
    <n v="8000"/>
    <n v="2.0116751676481104"/>
  </r>
  <r>
    <x v="8"/>
    <s v="215/75R15 _RANGER X-A/T_100 S_TL"/>
    <s v="MTS"/>
    <s v="Replacement"/>
    <n v="4000"/>
    <n v="2.0058375838240554"/>
  </r>
  <r>
    <x v="9"/>
    <s v="225/75R16_ULTIMA XPC1_10PR_M_TL"/>
    <s v="MTS"/>
    <s v="Replacement"/>
    <n v="1079"/>
    <n v="2.0015746882365391"/>
  </r>
  <r>
    <x v="10"/>
    <s v="175/60R15_UX TOURING_81H TL"/>
    <s v="MTS"/>
    <s v="Replacement"/>
    <n v="4000"/>
    <n v="2.0058375838240554"/>
  </r>
  <r>
    <x v="11"/>
    <s v="195R15LT_STEELKING_112_110_Q_10PR_TT"/>
    <s v="MTS"/>
    <s v="Replacement"/>
    <n v="1703"/>
    <n v="2.0024853513130916"/>
  </r>
  <r>
    <x v="12"/>
    <s v="185/85R16 RANGER BRT_TT"/>
    <s v="MTS"/>
    <s v="Replacement"/>
    <n v="9000"/>
    <n v="2.0131345636041242"/>
  </r>
  <r>
    <x v="13"/>
    <s v="165/65R13_ ULTIMA HI^LIFE _77 T TL"/>
    <s v="MTS"/>
    <s v="Replacement"/>
    <n v="3005"/>
    <n v="2.0043854848478215"/>
  </r>
  <r>
    <x v="14"/>
    <s v="145/80R13_Ultima Neo NextGen_75S_4Rib_TL"/>
    <s v="MTO"/>
    <s v="OE"/>
    <n v="55000"/>
    <n v="4.0802667775807597"/>
  </r>
  <r>
    <x v="15"/>
    <s v="145/70R13_TAXIMAX_71 T_TT"/>
    <s v="MTS"/>
    <s v="Replacement"/>
    <n v="148"/>
    <n v="2.00021599060149"/>
  </r>
  <r>
    <x v="16"/>
    <s v="215/75R16C_ULTIMA XPC1 _ TL_PLT_ TML"/>
    <s v="MTO"/>
    <s v="OE"/>
    <n v="700"/>
    <n v="4.0010215771692099"/>
  </r>
  <r>
    <x v="17"/>
    <s v="205/65R16_UX TOURING_95H TL"/>
    <s v="MTS"/>
    <s v="Replacement"/>
    <n v="8000"/>
    <n v="2.0116751676481104"/>
  </r>
  <r>
    <x v="18"/>
    <s v="235/75R15 BRUTE 4X4_105_S_TT"/>
    <s v="MTS"/>
    <s v="Replacement"/>
    <n v="8000"/>
    <n v="2.0116751676481104"/>
  </r>
  <r>
    <x v="19"/>
    <s v="155/80 R13_TAXIMAX_79 S TL"/>
    <s v="MTS"/>
    <s v="Replacement"/>
    <n v="15000"/>
    <n v="2.0218909393402069"/>
  </r>
  <r>
    <x v="20"/>
    <s v="215/60 R 16 _UX ROYALE_95_V_TL"/>
    <s v="MTS"/>
    <s v="Replacement"/>
    <n v="15000"/>
    <n v="2.0218909393402069"/>
  </r>
  <r>
    <x v="21"/>
    <s v="135/70R12 Ultima LXT 65S TL FOR BAL"/>
    <s v="MTS"/>
    <s v="Replacement"/>
    <n v="752"/>
    <n v="2.0010974657589222"/>
  </r>
  <r>
    <x v="22"/>
    <s v="215/60R17 UX ROYALE SMART_100_H_TL"/>
    <s v="MTS"/>
    <s v="Replacement"/>
    <n v="300"/>
    <n v="2.0004378187868039"/>
  </r>
  <r>
    <x v="23"/>
    <s v="195/80R15 BRUTE TT"/>
    <s v="MTO"/>
    <s v="OE"/>
    <n v="8500"/>
    <n v="4.0124048656261175"/>
  </r>
  <r>
    <x v="24"/>
    <s v="215/75R16_ULTIMA XPC1_10PR_S_TT"/>
    <s v="MTO"/>
    <s v="OE"/>
    <n v="400"/>
    <n v="4.0005837583824055"/>
  </r>
  <r>
    <x v="25"/>
    <s v="185/65R15_88T_UX ROYALE_ TL"/>
    <s v="MTS"/>
    <s v="Replacement"/>
    <n v="2136"/>
    <n v="2.0031172697620456"/>
  </r>
  <r>
    <x v="26"/>
    <s v="145/70R12_ ULTIMA HI^LIFE _69 T_TT"/>
    <s v="MTS"/>
    <s v="Replacement"/>
    <n v="0"/>
    <n v="2"/>
  </r>
  <r>
    <x v="27"/>
    <s v="215/60R16 UX ROYALE SMART_95_V_TL"/>
    <s v="MTS"/>
    <s v="Replacement"/>
    <n v="300"/>
    <n v="2.0004378187868039"/>
  </r>
  <r>
    <x v="28"/>
    <s v="165/80R14 UX ROYALE SMART_85_T_TL"/>
    <s v="MTS"/>
    <s v="Replacement"/>
    <n v="300"/>
    <n v="2.0004378187868039"/>
  </r>
  <r>
    <x v="29"/>
    <s v="7.00R15_STEEL KING_10PR_L_TT"/>
    <s v="MTO"/>
    <s v="OE"/>
    <n v="6500"/>
    <n v="4.0094860737140898"/>
  </r>
  <r>
    <x v="30"/>
    <s v="145/80R12 TAXIMAX_74 T_TL"/>
    <s v="MTS"/>
    <s v="Replacement"/>
    <n v="0"/>
    <n v="2"/>
  </r>
  <r>
    <x v="31"/>
    <s v="185/65R15 UX ROYALE SMART_88_T_TL"/>
    <s v="MTS"/>
    <s v="Replacement"/>
    <n v="300"/>
    <n v="2.0004378187868039"/>
  </r>
  <r>
    <x v="32"/>
    <s v="225/60R17_UX ROYALE_99 H TL"/>
    <s v="MTS"/>
    <s v="Replacement"/>
    <n v="2000"/>
    <n v="2.0029187919120277"/>
  </r>
  <r>
    <x v="33"/>
    <s v="185/60 R15_TAXIMAX_84 T TL"/>
    <s v="MTS"/>
    <s v="Replacement"/>
    <n v="1557"/>
    <n v="2.0022722795035133"/>
  </r>
  <r>
    <x v="34"/>
    <s v="235/65R17_RANGER HT PUNCTURE GUARD_104H"/>
    <s v="MTS"/>
    <s v="Replacement"/>
    <n v="579"/>
    <n v="2.0008449902585319"/>
  </r>
  <r>
    <x v="35"/>
    <s v="155/80 R13_ULTIMA HI^LIFE_79 S TL"/>
    <s v="MTS"/>
    <s v="Replacement"/>
    <n v="12000"/>
    <n v="2.0175127514721658"/>
  </r>
  <r>
    <x v="36"/>
    <s v="235/65 R17_RANGER H/T _104_H_TL"/>
    <s v="MTS"/>
    <s v="Replacement"/>
    <n v="8000"/>
    <n v="2.0116751676481104"/>
  </r>
  <r>
    <x v="37"/>
    <s v="7.00R15_STEELKING_12PR_L_TT"/>
    <s v="MTS"/>
    <s v="Replacement"/>
    <n v="40611"/>
    <n v="2.0592675291696767"/>
  </r>
  <r>
    <x v="38"/>
    <s v="185/70 R14_UX ROYALE_88_H_TL"/>
    <s v="MTS"/>
    <s v="Replacement"/>
    <n v="3000"/>
    <n v="2.0043781878680416"/>
  </r>
  <r>
    <x v="39"/>
    <s v="165/70R14_ TAXIMAX _81 S TL"/>
    <s v="MTS"/>
    <s v="Replacement"/>
    <n v="18000"/>
    <n v="2.0262691272082485"/>
  </r>
  <r>
    <x v="40"/>
    <s v="175/65R14_UX ROYALE PUNCTURE GUARD_82H"/>
    <s v="MTS"/>
    <s v="Replacement"/>
    <n v="421"/>
    <n v="2.0006144056974819"/>
  </r>
  <r>
    <x v="41"/>
    <s v="215/55R17 _UX1_98 V TL"/>
    <s v="MTS"/>
    <s v="Replacement"/>
    <n v="4"/>
    <n v="2.0000058375838239"/>
  </r>
  <r>
    <x v="42"/>
    <s v="165/80R14_UX TOURING_85S TL"/>
    <s v="MTS"/>
    <s v="Replacement"/>
    <n v="5181"/>
    <n v="2.0075611304481074"/>
  </r>
  <r>
    <x v="43"/>
    <s v="175/70R14 UX Royale 84 H"/>
    <s v="MTS"/>
    <s v="Replacement"/>
    <n v="1379"/>
    <n v="2.002012507023343"/>
  </r>
  <r>
    <x v="44"/>
    <s v="145/80 R13_TAXIMAX_75 S TL"/>
    <s v="MTS"/>
    <s v="Replacement"/>
    <n v="3887"/>
    <n v="2.0056726720810256"/>
  </r>
  <r>
    <x v="45"/>
    <s v="265/65 R17_RANGER H/T _112_H_TL"/>
    <s v="MTS"/>
    <s v="Replacement"/>
    <n v="2000"/>
    <n v="2.0029187919120277"/>
  </r>
  <r>
    <x v="46"/>
    <s v="195R15LT_STEELKING_112_110_Q_10PR_TL"/>
    <s v="MTS"/>
    <s v="Replacement"/>
    <n v="2900"/>
    <n v="2.00423224827244"/>
  </r>
  <r>
    <x v="47"/>
    <s v="215/75R15 _RANGER X-A/T_100 S_TT"/>
    <s v="MTS"/>
    <s v="Replacement"/>
    <n v="5000"/>
    <n v="2.0072969797800688"/>
  </r>
  <r>
    <x v="48"/>
    <s v="165/80R14_UX ROYALE_85T_MSIL_4Rib_TL"/>
    <s v="MTS"/>
    <s v="Replacement"/>
    <n v="5113"/>
    <n v="2.0074618915230986"/>
  </r>
  <r>
    <x v="49"/>
    <s v="215/75R15 BRUTE_10PR_L_TT"/>
    <s v="MTS"/>
    <s v="Replacement"/>
    <n v="5000"/>
    <n v="2.0072969797800688"/>
  </r>
  <r>
    <x v="50"/>
    <s v="195/55R16_UX ROYALE PUNCTURE GUARD_87V"/>
    <s v="MTS"/>
    <s v="Replacement"/>
    <n v="609"/>
    <n v="2.0008887721372126"/>
  </r>
  <r>
    <x v="51"/>
    <s v="215/60R17_UX ROYALE _100H XL TL_DOM REPL"/>
    <s v="MTS"/>
    <s v="Replacement"/>
    <n v="18000"/>
    <n v="2.0262691272082485"/>
  </r>
  <r>
    <x v="52"/>
    <s v="155/65R13_ ULTIMA HI^LIFE _73 T TL"/>
    <s v="MTS"/>
    <s v="Replacement"/>
    <n v="6055"/>
    <n v="2.0088366425136637"/>
  </r>
  <r>
    <x v="53"/>
    <s v="155/70R13_ULTIMA HI^LIFE_75T TL"/>
    <s v="MTS"/>
    <s v="Replacement"/>
    <n v="9200"/>
    <n v="2.013426442795327"/>
  </r>
  <r>
    <x v="54"/>
    <s v="235/75R15 _RANGER X-A/T_105 S_TL"/>
    <s v="MTS"/>
    <s v="Replacement"/>
    <n v="3256"/>
    <n v="2.004751793232781"/>
  </r>
  <r>
    <x v="55"/>
    <s v="195/60R16_RANGER HPE_89H TL_TML"/>
    <s v="MTS"/>
    <s v="Replacement"/>
    <n v="10024"/>
    <n v="2.0146289850630823"/>
  </r>
  <r>
    <x v="56"/>
    <s v="185/65R15_UX TOURING_88H TL"/>
    <s v="MTS"/>
    <s v="Replacement"/>
    <n v="4924"/>
    <n v="2.0071860656874119"/>
  </r>
  <r>
    <x v="57"/>
    <s v="205/55R16 UX Royale 91V"/>
    <s v="MTS"/>
    <s v="Replacement"/>
    <n v="2004"/>
    <n v="2.0029246294958516"/>
  </r>
  <r>
    <x v="58"/>
    <s v="205/65R15_UX TOURING_94V TL"/>
    <s v="MTS"/>
    <s v="Replacement"/>
    <n v="6098"/>
    <n v="2.0088993965397721"/>
  </r>
  <r>
    <x v="59"/>
    <s v="165/65 R14_TAXIMAX_79 T TL"/>
    <s v="MTS"/>
    <s v="Replacement"/>
    <n v="5318"/>
    <n v="2.0077610676940814"/>
  </r>
  <r>
    <x v="60"/>
    <s v="120/80R12_ULTIMA XPC_86F_TL"/>
    <s v="MTO"/>
    <s v="OE"/>
    <n v="27500"/>
    <n v="4.0401333887903794"/>
  </r>
  <r>
    <x v="61"/>
    <s v="195/55 R16 UX TOURING_87_V_TL"/>
    <s v="MTS"/>
    <s v="Replacement"/>
    <n v="7000"/>
    <n v="2.0102157716920965"/>
  </r>
  <r>
    <x v="62"/>
    <s v="235/75R15 _RANGER X-A/T_105 S_TT"/>
    <s v="MTS"/>
    <s v="Replacement"/>
    <n v="900"/>
    <n v="2.0013134563604122"/>
  </r>
  <r>
    <x v="63"/>
    <s v="185/65R15_UX ROYALE PUNCTURE GUARD_88H"/>
    <s v="MTS"/>
    <s v="Replacement"/>
    <n v="456"/>
    <n v="2.0006654845559422"/>
  </r>
  <r>
    <x v="64"/>
    <s v="175/60R13_ULTIMA SPORT_77_T_TL"/>
    <s v="MTS"/>
    <s v="Replacement"/>
    <n v="5000"/>
    <n v="2.0072969797800688"/>
  </r>
  <r>
    <x v="65"/>
    <s v="175/65 R14_TAXIMAX_82_T_TL"/>
    <s v="MTS"/>
    <s v="Replacement"/>
    <n v="6492"/>
    <n v="2.0094743985464416"/>
  </r>
  <r>
    <x v="66"/>
    <s v="165/70R14_ UX TOURING _81 S TL"/>
    <s v="MTS"/>
    <s v="Replacement"/>
    <n v="5866"/>
    <n v="2.0085608166779769"/>
  </r>
  <r>
    <x v="67"/>
    <s v="235/65R16_STEELKING+_121P TL"/>
    <s v="MTS"/>
    <s v="Replacement"/>
    <n v="9119"/>
    <n v="2.0133082317228901"/>
  </r>
  <r>
    <x v="68"/>
    <s v="215/75R15 BRUTE 4X4_100_S_TT"/>
    <s v="MTS"/>
    <s v="Replacement"/>
    <n v="6000"/>
    <n v="2.0087563757360827"/>
  </r>
  <r>
    <x v="69"/>
    <s v="145/70R12 ULTIMA HI^LIFE _69 T_TL"/>
    <s v="MTS"/>
    <s v="Replacement"/>
    <n v="0"/>
    <n v="2"/>
  </r>
  <r>
    <x v="70"/>
    <s v="155R13_ULTIMA XPC_8PR_Q_TL"/>
    <s v="MTO"/>
    <s v="OE"/>
    <n v="5000"/>
    <n v="4.0072969797800688"/>
  </r>
  <r>
    <x v="24"/>
    <s v="215/75R16_ULTIMA XPC1_10PR_S_TT"/>
    <s v="MTS"/>
    <s v="Replacement"/>
    <n v="1541"/>
    <n v="2.0022489291682173"/>
  </r>
  <r>
    <x v="71"/>
    <s v="120/80R12_ULTIMA-XPC1_74F_TL"/>
    <s v="MTO"/>
    <s v="OE"/>
    <n v="23400"/>
    <n v="4.0341498653707228"/>
  </r>
  <r>
    <x v="67"/>
    <s v="235/65R16_STEELKING+_121P TL"/>
    <s v="MTO"/>
    <s v="OE"/>
    <n v="6500"/>
    <n v="4.0094860737140898"/>
  </r>
  <r>
    <x v="72"/>
    <s v="130/80R12 _ Ultima XPC_90 F _TL_BAJAJ"/>
    <s v="MTO"/>
    <s v="OE"/>
    <n v="30700"/>
    <n v="4.0448034558496238"/>
  </r>
  <r>
    <x v="73"/>
    <s v="155/70R13_TAXIMAX_75 T_TL"/>
    <s v="MTS"/>
    <s v="Replacement"/>
    <n v="5000"/>
    <n v="2.0072969797800688"/>
  </r>
  <r>
    <x v="70"/>
    <s v="155R13_ULTIMA XPC_8PR_Q_TL"/>
    <s v="MTS"/>
    <s v="Replacement"/>
    <n v="6264"/>
    <n v="2.0091416562684703"/>
  </r>
  <r>
    <x v="0"/>
    <s v="215/75R15_STEELKING_10PR_S_TL"/>
    <s v="MTO"/>
    <s v="OE"/>
    <n v="5500"/>
    <n v="4.0080266777580755"/>
  </r>
  <r>
    <x v="74"/>
    <s v="175/65R15_UX ROYALE PUNCTURE GUARD_84H"/>
    <s v="MTS"/>
    <s v="Replacement"/>
    <n v="148"/>
    <n v="2.00021599060149"/>
  </r>
  <r>
    <x v="75"/>
    <s v="145/70R13_TAXIMAX_71T TL"/>
    <s v="MTS"/>
    <s v="Replacement"/>
    <n v="2914"/>
    <n v="2.0042526798158242"/>
  </r>
  <r>
    <x v="76"/>
    <s v="175/65R14 Vectra 82 T TL HONDA 2UA"/>
    <s v="MTS"/>
    <s v="Replacement"/>
    <n v="1432"/>
    <n v="2.0020898550090118"/>
  </r>
  <r>
    <x v="77"/>
    <s v="145/80R12 ULTIMA HI^LIFE_TT"/>
    <s v="MTS"/>
    <s v="Replacement"/>
    <n v="20000"/>
    <n v="2.0291879191202762"/>
  </r>
  <r>
    <x v="21"/>
    <s v="135/70R12 Ultima LXT 65S TL FOR BAL"/>
    <s v="MTO"/>
    <s v="OE"/>
    <n v="0"/>
    <n v="4"/>
  </r>
  <r>
    <x v="78"/>
    <s v="155R13_ULTIMA XPC_8PR_Q_TT"/>
    <s v="MTS"/>
    <s v="Replacement"/>
    <n v="548"/>
    <n v="2.0007997489838956"/>
  </r>
  <r>
    <x v="37"/>
    <s v="7.00R15_STEELKING_12PR_L_TT"/>
    <s v="MTO"/>
    <s v="OE"/>
    <n v="17500"/>
    <n v="4.0255394292302418"/>
  </r>
  <r>
    <x v="79"/>
    <s v="205/65R16_TAXIMAX_95 H TL"/>
    <s v="MTS"/>
    <s v="Replacement"/>
    <n v="2519"/>
    <n v="2.0036762184131987"/>
  </r>
  <r>
    <x v="76"/>
    <s v="175/65R14 Vectra 82 T TL HONDA 2UA"/>
    <s v="MTO"/>
    <s v="OE"/>
    <n v="821"/>
    <n v="4.001198164079887"/>
  </r>
  <r>
    <x v="80"/>
    <s v="205/65R15_TAXIMAX_94 V_TL"/>
    <s v="MTS"/>
    <s v="Replacement"/>
    <n v="2061"/>
    <n v="2.0030078150653443"/>
  </r>
  <r>
    <x v="81"/>
    <s v="165/80 R14_TAXIMAX_85 S TL"/>
    <s v="MTS"/>
    <s v="Replacement"/>
    <n v="20000"/>
    <n v="2.0291879191202762"/>
  </r>
  <r>
    <x v="82"/>
    <s v="205/60 R16_UX ROYALE_92_V_TL"/>
    <s v="MTS"/>
    <s v="Replacement"/>
    <n v="558"/>
    <n v="2.0008143429434555"/>
  </r>
  <r>
    <x v="83"/>
    <s v="205/65 R 15 94V ZEPHYR TUBELESS"/>
    <s v="MTS"/>
    <s v="Replacement"/>
    <n v="0"/>
    <n v="2"/>
  </r>
  <r>
    <x v="23"/>
    <s v="195/80R15 BRUTE TT"/>
    <s v="MTS"/>
    <s v="Replacement"/>
    <n v="33"/>
    <n v="2.0000481600665485"/>
  </r>
  <r>
    <x v="55"/>
    <s v="195/60R16_RANGER HPE_89H TL_TML"/>
    <s v="MTO"/>
    <s v="OE"/>
    <n v="7000"/>
    <n v="4.0102157716920965"/>
  </r>
  <r>
    <x v="84"/>
    <s v="135/70R15 STAR XT_99M TL"/>
    <s v="MTO"/>
    <s v="OE"/>
    <n v="6300"/>
    <n v="4.0091941945228866"/>
  </r>
  <r>
    <x v="85"/>
    <s v="185/65 R15_TAXIMAX_88 H TL"/>
    <s v="MTS"/>
    <s v="Replacement"/>
    <n v="22000"/>
    <n v="2.0321067110323039"/>
  </r>
  <r>
    <x v="86"/>
    <s v="195/55 R16_UX ROYALE_87_V_TL"/>
    <s v="MTS"/>
    <s v="Replacement"/>
    <n v="8000"/>
    <n v="2.0116751676481104"/>
  </r>
  <r>
    <x v="16"/>
    <s v="215/75R16C_ULTIMA XPC1 _ TL_PLT_ TML"/>
    <s v="MTS"/>
    <s v="Replacement"/>
    <n v="600"/>
    <n v="2.0008756375736083"/>
  </r>
  <r>
    <x v="87"/>
    <s v="145/80R12 ULTIMA HI^LIFE_TL"/>
    <s v="MTS"/>
    <s v="Replacement"/>
    <n v="25000"/>
    <n v="2.036484898900345"/>
  </r>
  <r>
    <x v="88"/>
    <s v="145R12LT_ULTIMAXPC1_TL_6PR_80_78Q_TML"/>
    <s v="MTS"/>
    <s v="Replacement"/>
    <n v="500"/>
    <n v="2.0007296979780067"/>
  </r>
  <r>
    <x v="20"/>
    <s v="215/60 R 16 _UX ROYALE_95_V_TL"/>
    <s v="MTO"/>
    <s v="Export"/>
    <n v="5"/>
    <n v="3.00000729697978"/>
  </r>
  <r>
    <x v="32"/>
    <s v="225/60R17_UX ROYALE_99 H TL"/>
    <s v="MTO"/>
    <s v="Export"/>
    <n v="9"/>
    <n v="3.0000131345636043"/>
  </r>
  <r>
    <x v="19"/>
    <s v="155/80 R13_TAXIMAX_79 S TL"/>
    <s v="MTO"/>
    <s v="Export"/>
    <n v="30"/>
    <n v="3.0000437818786803"/>
  </r>
  <r>
    <x v="59"/>
    <s v="165/65 R14_TAXIMAX_79 T TL"/>
    <s v="MTO"/>
    <s v="Export"/>
    <n v="100"/>
    <n v="3.0001459395956012"/>
  </r>
  <r>
    <x v="38"/>
    <s v="185/70 R14_UX ROYALE_88_H_TL"/>
    <s v="MTO"/>
    <s v="Export"/>
    <n v="26"/>
    <n v="3.0000379442948564"/>
  </r>
  <r>
    <x v="80"/>
    <s v="205/65R15_TAXIMAX_94 V_TL"/>
    <s v="MTO"/>
    <s v="Export"/>
    <n v="100"/>
    <n v="3.0001459395956012"/>
  </r>
  <r>
    <x v="79"/>
    <s v="205/65R16_TAXIMAX_95 H TL"/>
    <s v="MTO"/>
    <s v="Export"/>
    <n v="50"/>
    <n v="3.0000729697978006"/>
  </r>
  <r>
    <x v="32"/>
    <s v="225/60R17_UX ROYALE_99 H TL"/>
    <s v="MTO"/>
    <s v="Export"/>
    <n v="20"/>
    <n v="3.0000291879191203"/>
  </r>
  <r>
    <x v="45"/>
    <s v="265/65 R17_RANGER H/T _112_H_TL"/>
    <s v="MTO"/>
    <s v="Export"/>
    <n v="47"/>
    <n v="3.0000685916099328"/>
  </r>
  <r>
    <x v="65"/>
    <s v="175/65 R14_TAXIMAX_82_T_TL"/>
    <s v="MTO"/>
    <s v="Export"/>
    <n v="70"/>
    <n v="3.0001021577169209"/>
  </r>
  <r>
    <x v="85"/>
    <s v="185/65 R15_TAXIMAX_88 H TL"/>
    <s v="MTO"/>
    <s v="Export"/>
    <n v="300"/>
    <n v="3.0004378187868039"/>
  </r>
  <r>
    <x v="80"/>
    <s v="205/65R15_TAXIMAX_94 V_TL"/>
    <s v="MTO"/>
    <s v="Export"/>
    <n v="100"/>
    <n v="3.0001459395956012"/>
  </r>
  <r>
    <x v="79"/>
    <s v="205/65R16_TAXIMAX_95 H TL"/>
    <s v="MTO"/>
    <s v="Export"/>
    <n v="50"/>
    <n v="3.0000729697978006"/>
  </r>
  <r>
    <x v="45"/>
    <s v="265/65 R17_RANGER H/T _112_H_TL"/>
    <s v="MTO"/>
    <s v="Export"/>
    <n v="50"/>
    <n v="3.0000729697978006"/>
  </r>
  <r>
    <x v="89"/>
    <s v="7.50R16LT_ JUH STEEL_12 PR_121/120 N_TT"/>
    <s v="MTO"/>
    <s v="Export"/>
    <n v="163"/>
    <n v="3.0002378815408304"/>
  </r>
  <r>
    <x v="38"/>
    <s v="185/70 R14_UX ROYALE_88_H_TL"/>
    <s v="MTO"/>
    <s v="Export"/>
    <n v="200"/>
    <n v="3.0002918791912028"/>
  </r>
  <r>
    <x v="90"/>
    <s v="205/65R15 UX Royale 94V"/>
    <s v="MTO"/>
    <s v="Export"/>
    <n v="93"/>
    <n v="3.0001357238239095"/>
  </r>
  <r>
    <x v="45"/>
    <s v="265/65 R17_RANGER H/T _112_H_TL"/>
    <s v="MTO"/>
    <s v="Export"/>
    <n v="680"/>
    <n v="3.0009923892500896"/>
  </r>
  <r>
    <x v="91"/>
    <s v="215/70R15C ULTIMA XPC-1 109/107 Q TL"/>
    <s v="MTO"/>
    <s v="Export"/>
    <n v="615"/>
    <n v="3.0008975285129487"/>
  </r>
  <r>
    <x v="92"/>
    <s v="225/70R15C ULTIMA XPC-1 112/110 R TL"/>
    <s v="MTO"/>
    <s v="Export"/>
    <n v="93"/>
    <n v="3.0001357238239095"/>
  </r>
  <r>
    <x v="36"/>
    <s v="235/65 R17_RANGER H/T _104_H_TL"/>
    <s v="MTO"/>
    <s v="Export"/>
    <n v="30"/>
    <n v="3.0000437818786803"/>
  </r>
  <r>
    <x v="93"/>
    <s v="LT 235/85R16_RANGER AT2 _120/116 Q TL"/>
    <s v="MTO"/>
    <s v="Export"/>
    <n v="1160"/>
    <n v="3.001692899308976"/>
  </r>
  <r>
    <x v="21"/>
    <s v="135/70R12 Ultima LXT 65S TL FOR BAL"/>
    <s v="MTO"/>
    <s v="Export"/>
    <n v="1438"/>
    <n v="3.0020986113847479"/>
  </r>
  <r>
    <x v="48"/>
    <s v="165/80R14_UX ROYALE_85T_MSIL_4Rib_TL"/>
    <s v="MTO"/>
    <s v="Export"/>
    <n v="1740"/>
    <n v="3.002539348963464"/>
  </r>
  <r>
    <x v="94"/>
    <s v="205/60R16_UX ROYALE PUNCTURE GUARD_92V"/>
    <s v="MTO"/>
    <s v="Export"/>
    <n v="11"/>
    <n v="3.000016053355516"/>
  </r>
  <r>
    <x v="38"/>
    <s v="185/70 R14_UX ROYALE_88_H_TL"/>
    <s v="MTO"/>
    <s v="Export"/>
    <n v="200"/>
    <n v="3.0002918791912028"/>
  </r>
  <r>
    <x v="95"/>
    <s v="175/70R13_ULTIMA NEO_82_T_4RIB_TL_ EXPOR"/>
    <s v="MTO"/>
    <s v="Export"/>
    <n v="423"/>
    <n v="3.0006173244893937"/>
  </r>
  <r>
    <x v="96"/>
    <s v="225/55R17 _UX1_101 V TL"/>
    <s v="MTO"/>
    <s v="Export"/>
    <n v="159"/>
    <n v="3.000232043957006"/>
  </r>
  <r>
    <x v="45"/>
    <s v="265/65 R17_RANGER H/T _112_H_TL"/>
    <s v="MTO"/>
    <s v="Export"/>
    <n v="300"/>
    <n v="3.0004378187868039"/>
  </r>
  <r>
    <x v="32"/>
    <s v="225/60R17_UX ROYALE_99 H TL"/>
    <s v="MTO"/>
    <s v="Export"/>
    <n v="30"/>
    <n v="3.0000437818786803"/>
  </r>
  <r>
    <x v="97"/>
    <s v="205R16C ULTIMA XPC1 110/108 R TL"/>
    <s v="MTO"/>
    <s v="Export"/>
    <n v="20"/>
    <n v="3.0000291879191203"/>
  </r>
  <r>
    <x v="67"/>
    <s v="235/65R16_STEELKING+_TL"/>
    <s v="MTO"/>
    <s v="Export"/>
    <n v="12"/>
    <n v="3.0000175127514721"/>
  </r>
  <r>
    <x v="98"/>
    <s v="195-R15_BRUTE LT_8PR S TL"/>
    <s v="MTO"/>
    <s v="Export"/>
    <n v="300"/>
    <n v="3.0004378187868039"/>
  </r>
  <r>
    <x v="96"/>
    <s v="225/55R17 _UX1_101 V TL"/>
    <s v="MTO"/>
    <s v="Export"/>
    <n v="13"/>
    <n v="3.0000189721474282"/>
  </r>
  <r>
    <x v="99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92F67-99A9-40C6-B670-797AF54611AB}" name="PivotTable1" cacheId="3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04" firstHeaderRow="0" firstDataRow="1" firstDataCol="1"/>
  <pivotFields count="6">
    <pivotField axis="axisRow" compact="0" outline="0" showAll="0">
      <items count="101">
        <item x="11"/>
        <item x="5"/>
        <item x="24"/>
        <item x="1"/>
        <item x="29"/>
        <item x="37"/>
        <item x="89"/>
        <item x="98"/>
        <item x="46"/>
        <item x="97"/>
        <item x="91"/>
        <item x="0"/>
        <item x="16"/>
        <item x="92"/>
        <item x="9"/>
        <item x="67"/>
        <item x="26"/>
        <item x="15"/>
        <item x="77"/>
        <item x="7"/>
        <item x="23"/>
        <item x="68"/>
        <item x="6"/>
        <item x="47"/>
        <item x="49"/>
        <item x="18"/>
        <item x="62"/>
        <item x="21"/>
        <item x="84"/>
        <item x="69"/>
        <item x="75"/>
        <item x="30"/>
        <item x="87"/>
        <item x="44"/>
        <item x="14"/>
        <item x="52"/>
        <item x="73"/>
        <item x="53"/>
        <item x="19"/>
        <item x="35"/>
        <item x="13"/>
        <item x="59"/>
        <item x="39"/>
        <item x="66"/>
        <item x="81"/>
        <item x="42"/>
        <item x="48"/>
        <item x="28"/>
        <item x="64"/>
        <item x="10"/>
        <item x="40"/>
        <item x="65"/>
        <item x="3"/>
        <item x="76"/>
        <item x="74"/>
        <item x="95"/>
        <item x="43"/>
        <item x="33"/>
        <item x="85"/>
        <item x="63"/>
        <item x="56"/>
        <item x="25"/>
        <item x="31"/>
        <item x="38"/>
        <item x="86"/>
        <item x="50"/>
        <item x="61"/>
        <item x="55"/>
        <item x="57"/>
        <item x="82"/>
        <item x="94"/>
        <item x="80"/>
        <item x="90"/>
        <item x="58"/>
        <item x="83"/>
        <item x="79"/>
        <item x="17"/>
        <item x="41"/>
        <item x="20"/>
        <item x="27"/>
        <item x="51"/>
        <item x="22"/>
        <item x="2"/>
        <item x="8"/>
        <item x="96"/>
        <item x="32"/>
        <item x="36"/>
        <item x="34"/>
        <item x="4"/>
        <item x="54"/>
        <item x="93"/>
        <item x="45"/>
        <item x="12"/>
        <item x="78"/>
        <item x="71"/>
        <item x="60"/>
        <item x="72"/>
        <item x="88"/>
        <item x="70"/>
        <item x="99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quirement" fld="4" baseField="0" baseItem="0"/>
    <dataField name="Max of ConsolidatedPriorityScore" fld="5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4255-AC61-4CDD-B30D-A39D09052FFA}">
  <sheetPr filterMode="1"/>
  <dimension ref="A1:F134"/>
  <sheetViews>
    <sheetView workbookViewId="0"/>
  </sheetViews>
  <sheetFormatPr defaultRowHeight="14.45"/>
  <cols>
    <col min="1" max="1" width="22" bestFit="1" customWidth="1"/>
    <col min="2" max="2" width="45.140625" style="3" bestFit="1" customWidth="1"/>
    <col min="3" max="3" width="14.42578125" bestFit="1" customWidth="1"/>
    <col min="4" max="4" width="12.7109375" bestFit="1" customWidth="1"/>
    <col min="5" max="5" width="12.5703125" bestFit="1" customWidth="1"/>
    <col min="6" max="6" width="14.5703125" bestFit="1" customWidth="1"/>
  </cols>
  <sheetData>
    <row r="1" spans="1: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 t="s">
        <v>7</v>
      </c>
      <c r="C2" s="1">
        <v>11846</v>
      </c>
      <c r="D2" s="1" t="s">
        <v>8</v>
      </c>
      <c r="E2" s="1" t="s">
        <v>9</v>
      </c>
      <c r="F2" s="1" t="str">
        <f>IF(C2="MTS", 1 + (Sheet2!D2/108468), IF(C2="MTO", 2 + (Sheet2!D2/108468), ""))</f>
        <v/>
      </c>
    </row>
    <row r="3" spans="1:6">
      <c r="A3" s="1" t="s">
        <v>10</v>
      </c>
      <c r="B3" s="2" t="s">
        <v>11</v>
      </c>
      <c r="C3" s="1">
        <v>1802</v>
      </c>
      <c r="D3" s="1" t="s">
        <v>8</v>
      </c>
      <c r="E3" s="1" t="s">
        <v>9</v>
      </c>
      <c r="F3" s="1"/>
    </row>
    <row r="4" spans="1:6">
      <c r="A4" s="1" t="s">
        <v>12</v>
      </c>
      <c r="B4" s="2" t="s">
        <v>13</v>
      </c>
      <c r="C4" s="1">
        <v>20000</v>
      </c>
      <c r="D4" s="1" t="s">
        <v>8</v>
      </c>
      <c r="E4" s="1" t="s">
        <v>9</v>
      </c>
      <c r="F4" s="1"/>
    </row>
    <row r="5" spans="1:6">
      <c r="A5" s="1" t="s">
        <v>14</v>
      </c>
      <c r="B5" s="2" t="s">
        <v>15</v>
      </c>
      <c r="C5" s="1">
        <v>5000</v>
      </c>
      <c r="D5" s="1" t="s">
        <v>8</v>
      </c>
      <c r="E5" s="1" t="s">
        <v>9</v>
      </c>
      <c r="F5" s="1"/>
    </row>
    <row r="6" spans="1:6">
      <c r="A6" s="1" t="s">
        <v>16</v>
      </c>
      <c r="B6" s="2" t="s">
        <v>17</v>
      </c>
      <c r="C6" s="1">
        <v>2847</v>
      </c>
      <c r="D6" s="1" t="s">
        <v>8</v>
      </c>
      <c r="E6" s="1" t="s">
        <v>9</v>
      </c>
      <c r="F6" s="1"/>
    </row>
    <row r="7" spans="1:6">
      <c r="A7" s="1" t="s">
        <v>18</v>
      </c>
      <c r="B7" s="2" t="s">
        <v>19</v>
      </c>
      <c r="C7" s="1">
        <v>5668</v>
      </c>
      <c r="D7" s="1" t="s">
        <v>8</v>
      </c>
      <c r="E7" s="1" t="s">
        <v>9</v>
      </c>
      <c r="F7" s="1"/>
    </row>
    <row r="8" spans="1:6">
      <c r="A8" s="1" t="s">
        <v>20</v>
      </c>
      <c r="B8" s="2" t="s">
        <v>21</v>
      </c>
      <c r="C8" s="1">
        <v>5000</v>
      </c>
      <c r="D8" s="1" t="s">
        <v>8</v>
      </c>
      <c r="E8" s="1" t="s">
        <v>9</v>
      </c>
      <c r="F8" s="1"/>
    </row>
    <row r="9" spans="1:6">
      <c r="A9" s="1" t="s">
        <v>22</v>
      </c>
      <c r="B9" s="2" t="s">
        <v>23</v>
      </c>
      <c r="C9" s="1">
        <v>8000</v>
      </c>
      <c r="D9" s="1" t="s">
        <v>8</v>
      </c>
      <c r="E9" s="1" t="s">
        <v>9</v>
      </c>
      <c r="F9" s="1"/>
    </row>
    <row r="10" spans="1:6">
      <c r="A10" s="1" t="s">
        <v>24</v>
      </c>
      <c r="B10" s="2" t="s">
        <v>25</v>
      </c>
      <c r="C10" s="1">
        <v>4000</v>
      </c>
      <c r="D10" s="1" t="s">
        <v>8</v>
      </c>
      <c r="E10" s="1" t="s">
        <v>9</v>
      </c>
      <c r="F10" s="1"/>
    </row>
    <row r="11" spans="1:6">
      <c r="A11" s="1" t="s">
        <v>26</v>
      </c>
      <c r="B11" s="2" t="s">
        <v>27</v>
      </c>
      <c r="C11" s="1">
        <v>1079</v>
      </c>
      <c r="D11" s="1" t="s">
        <v>8</v>
      </c>
      <c r="E11" s="1" t="s">
        <v>9</v>
      </c>
      <c r="F11" s="1"/>
    </row>
    <row r="12" spans="1:6">
      <c r="A12" s="1" t="s">
        <v>28</v>
      </c>
      <c r="B12" s="2" t="s">
        <v>29</v>
      </c>
      <c r="C12" s="1">
        <v>4000</v>
      </c>
      <c r="D12" s="1" t="s">
        <v>8</v>
      </c>
      <c r="E12" s="1" t="s">
        <v>9</v>
      </c>
      <c r="F12" s="1"/>
    </row>
    <row r="13" spans="1:6">
      <c r="A13" s="1" t="s">
        <v>30</v>
      </c>
      <c r="B13" s="2" t="s">
        <v>31</v>
      </c>
      <c r="C13" s="1">
        <v>1703</v>
      </c>
      <c r="D13" s="1" t="s">
        <v>8</v>
      </c>
      <c r="E13" s="1" t="s">
        <v>9</v>
      </c>
      <c r="F13" s="1"/>
    </row>
    <row r="14" spans="1:6">
      <c r="A14" s="1" t="s">
        <v>32</v>
      </c>
      <c r="B14" s="2" t="s">
        <v>33</v>
      </c>
      <c r="C14" s="1">
        <v>9000</v>
      </c>
      <c r="D14" s="1" t="s">
        <v>8</v>
      </c>
      <c r="E14" s="1" t="s">
        <v>9</v>
      </c>
      <c r="F14" s="1"/>
    </row>
    <row r="15" spans="1:6">
      <c r="A15" s="1" t="s">
        <v>34</v>
      </c>
      <c r="B15" s="2" t="s">
        <v>35</v>
      </c>
      <c r="C15" s="1">
        <v>3005</v>
      </c>
      <c r="D15" s="1" t="s">
        <v>8</v>
      </c>
      <c r="E15" s="1" t="s">
        <v>9</v>
      </c>
      <c r="F15" s="1"/>
    </row>
    <row r="16" spans="1:6">
      <c r="A16" s="1" t="s">
        <v>36</v>
      </c>
      <c r="B16" s="2" t="s">
        <v>37</v>
      </c>
      <c r="C16" s="1">
        <v>55000</v>
      </c>
      <c r="D16" s="1" t="s">
        <v>38</v>
      </c>
      <c r="E16" s="1" t="s">
        <v>39</v>
      </c>
      <c r="F16" s="1"/>
    </row>
    <row r="17" spans="1:6">
      <c r="A17" s="1" t="s">
        <v>40</v>
      </c>
      <c r="B17" s="2" t="s">
        <v>41</v>
      </c>
      <c r="C17" s="1">
        <v>148</v>
      </c>
      <c r="D17" s="1" t="s">
        <v>8</v>
      </c>
      <c r="E17" s="1" t="s">
        <v>9</v>
      </c>
      <c r="F17" s="1"/>
    </row>
    <row r="18" spans="1:6">
      <c r="A18" s="1" t="s">
        <v>42</v>
      </c>
      <c r="B18" s="2" t="s">
        <v>43</v>
      </c>
      <c r="C18" s="1">
        <v>700</v>
      </c>
      <c r="D18" s="1" t="s">
        <v>38</v>
      </c>
      <c r="E18" s="1" t="s">
        <v>39</v>
      </c>
      <c r="F18" s="1"/>
    </row>
    <row r="19" spans="1:6">
      <c r="A19" s="1" t="s">
        <v>44</v>
      </c>
      <c r="B19" s="2" t="s">
        <v>45</v>
      </c>
      <c r="C19" s="1">
        <v>8000</v>
      </c>
      <c r="D19" s="1" t="s">
        <v>8</v>
      </c>
      <c r="E19" s="1" t="s">
        <v>9</v>
      </c>
      <c r="F19" s="1"/>
    </row>
    <row r="20" spans="1:6">
      <c r="A20" s="1" t="s">
        <v>46</v>
      </c>
      <c r="B20" s="2" t="s">
        <v>47</v>
      </c>
      <c r="C20" s="1">
        <v>8000</v>
      </c>
      <c r="D20" s="1" t="s">
        <v>8</v>
      </c>
      <c r="E20" s="1" t="s">
        <v>9</v>
      </c>
      <c r="F20" s="1"/>
    </row>
    <row r="21" spans="1:6">
      <c r="A21" s="1" t="s">
        <v>48</v>
      </c>
      <c r="B21" s="2" t="s">
        <v>49</v>
      </c>
      <c r="C21" s="1">
        <v>15000</v>
      </c>
      <c r="D21" s="1" t="s">
        <v>8</v>
      </c>
      <c r="E21" s="1" t="s">
        <v>9</v>
      </c>
      <c r="F21" s="1"/>
    </row>
    <row r="22" spans="1:6">
      <c r="A22" s="1" t="s">
        <v>50</v>
      </c>
      <c r="B22" s="2" t="s">
        <v>51</v>
      </c>
      <c r="C22" s="1">
        <v>15000</v>
      </c>
      <c r="D22" s="1" t="s">
        <v>8</v>
      </c>
      <c r="E22" s="1" t="s">
        <v>9</v>
      </c>
      <c r="F22" s="1"/>
    </row>
    <row r="23" spans="1:6">
      <c r="A23" s="1" t="s">
        <v>52</v>
      </c>
      <c r="B23" s="2" t="s">
        <v>53</v>
      </c>
      <c r="C23" s="1">
        <v>752</v>
      </c>
      <c r="D23" s="1" t="s">
        <v>8</v>
      </c>
      <c r="E23" s="1" t="s">
        <v>9</v>
      </c>
      <c r="F23" s="1"/>
    </row>
    <row r="24" spans="1:6">
      <c r="A24" s="1" t="s">
        <v>54</v>
      </c>
      <c r="B24" s="2" t="s">
        <v>55</v>
      </c>
      <c r="C24" s="1">
        <v>300</v>
      </c>
      <c r="D24" s="1" t="s">
        <v>8</v>
      </c>
      <c r="E24" s="1" t="s">
        <v>9</v>
      </c>
      <c r="F24" s="1"/>
    </row>
    <row r="25" spans="1:6">
      <c r="A25" s="1" t="s">
        <v>56</v>
      </c>
      <c r="B25" s="2" t="s">
        <v>57</v>
      </c>
      <c r="C25" s="1">
        <v>8500</v>
      </c>
      <c r="D25" s="1" t="s">
        <v>38</v>
      </c>
      <c r="E25" s="1" t="s">
        <v>39</v>
      </c>
      <c r="F25" s="1"/>
    </row>
    <row r="26" spans="1:6">
      <c r="A26" s="1" t="s">
        <v>58</v>
      </c>
      <c r="B26" s="2" t="s">
        <v>59</v>
      </c>
      <c r="C26" s="1">
        <v>400</v>
      </c>
      <c r="D26" s="1" t="s">
        <v>38</v>
      </c>
      <c r="E26" s="1" t="s">
        <v>39</v>
      </c>
      <c r="F26" s="1"/>
    </row>
    <row r="27" spans="1:6">
      <c r="A27" s="1" t="s">
        <v>60</v>
      </c>
      <c r="B27" s="2" t="s">
        <v>61</v>
      </c>
      <c r="C27" s="1">
        <v>2136</v>
      </c>
      <c r="D27" s="1" t="s">
        <v>8</v>
      </c>
      <c r="E27" s="1" t="s">
        <v>9</v>
      </c>
      <c r="F27" s="1"/>
    </row>
    <row r="28" spans="1:6" hidden="1">
      <c r="A28" s="1" t="s">
        <v>62</v>
      </c>
      <c r="B28" s="2" t="s">
        <v>63</v>
      </c>
      <c r="C28" s="1">
        <v>0</v>
      </c>
      <c r="D28" s="1" t="s">
        <v>8</v>
      </c>
      <c r="E28" s="1" t="s">
        <v>9</v>
      </c>
      <c r="F28" s="1"/>
    </row>
    <row r="29" spans="1:6">
      <c r="A29" s="1" t="s">
        <v>64</v>
      </c>
      <c r="B29" s="2" t="s">
        <v>65</v>
      </c>
      <c r="C29" s="1">
        <v>300</v>
      </c>
      <c r="D29" s="1" t="s">
        <v>8</v>
      </c>
      <c r="E29" s="1" t="s">
        <v>9</v>
      </c>
      <c r="F29" s="1"/>
    </row>
    <row r="30" spans="1:6">
      <c r="A30" s="1" t="s">
        <v>66</v>
      </c>
      <c r="B30" s="2" t="s">
        <v>67</v>
      </c>
      <c r="C30" s="1">
        <v>300</v>
      </c>
      <c r="D30" s="1" t="s">
        <v>8</v>
      </c>
      <c r="E30" s="1" t="s">
        <v>9</v>
      </c>
      <c r="F30" s="1"/>
    </row>
    <row r="31" spans="1:6">
      <c r="A31" s="1" t="s">
        <v>68</v>
      </c>
      <c r="B31" s="2" t="s">
        <v>69</v>
      </c>
      <c r="C31" s="1">
        <f>13500-7000</f>
        <v>6500</v>
      </c>
      <c r="D31" s="1" t="s">
        <v>38</v>
      </c>
      <c r="E31" s="1" t="s">
        <v>39</v>
      </c>
      <c r="F31" s="1"/>
    </row>
    <row r="32" spans="1:6" hidden="1">
      <c r="A32" s="1" t="s">
        <v>70</v>
      </c>
      <c r="B32" s="2" t="s">
        <v>71</v>
      </c>
      <c r="C32" s="1">
        <v>0</v>
      </c>
      <c r="D32" s="1" t="s">
        <v>8</v>
      </c>
      <c r="E32" s="1" t="s">
        <v>9</v>
      </c>
      <c r="F32" s="1"/>
    </row>
    <row r="33" spans="1:6">
      <c r="A33" s="1" t="s">
        <v>72</v>
      </c>
      <c r="B33" s="2" t="s">
        <v>73</v>
      </c>
      <c r="C33" s="1">
        <v>300</v>
      </c>
      <c r="D33" s="1" t="s">
        <v>8</v>
      </c>
      <c r="E33" s="1" t="s">
        <v>9</v>
      </c>
      <c r="F33" s="1"/>
    </row>
    <row r="34" spans="1:6">
      <c r="A34" s="1" t="s">
        <v>74</v>
      </c>
      <c r="B34" s="2" t="s">
        <v>75</v>
      </c>
      <c r="C34" s="1">
        <v>2000</v>
      </c>
      <c r="D34" s="1" t="s">
        <v>8</v>
      </c>
      <c r="E34" s="1" t="s">
        <v>9</v>
      </c>
      <c r="F34" s="1"/>
    </row>
    <row r="35" spans="1:6">
      <c r="A35" s="1" t="s">
        <v>76</v>
      </c>
      <c r="B35" s="2" t="s">
        <v>77</v>
      </c>
      <c r="C35" s="1">
        <v>1557</v>
      </c>
      <c r="D35" s="1" t="s">
        <v>8</v>
      </c>
      <c r="E35" s="1" t="s">
        <v>9</v>
      </c>
      <c r="F35" s="1"/>
    </row>
    <row r="36" spans="1:6">
      <c r="A36" s="1" t="s">
        <v>78</v>
      </c>
      <c r="B36" s="2" t="s">
        <v>79</v>
      </c>
      <c r="C36" s="1">
        <v>579</v>
      </c>
      <c r="D36" s="1" t="s">
        <v>8</v>
      </c>
      <c r="E36" s="1" t="s">
        <v>9</v>
      </c>
      <c r="F36" s="1"/>
    </row>
    <row r="37" spans="1:6">
      <c r="A37" s="1" t="s">
        <v>80</v>
      </c>
      <c r="B37" s="2" t="s">
        <v>81</v>
      </c>
      <c r="C37" s="1">
        <v>12000</v>
      </c>
      <c r="D37" s="1" t="s">
        <v>8</v>
      </c>
      <c r="E37" s="1" t="s">
        <v>9</v>
      </c>
      <c r="F37" s="1"/>
    </row>
    <row r="38" spans="1:6">
      <c r="A38" s="1" t="s">
        <v>82</v>
      </c>
      <c r="B38" s="2" t="s">
        <v>83</v>
      </c>
      <c r="C38" s="1">
        <v>8000</v>
      </c>
      <c r="D38" s="1" t="s">
        <v>8</v>
      </c>
      <c r="E38" s="1" t="s">
        <v>9</v>
      </c>
      <c r="F38" s="1"/>
    </row>
    <row r="39" spans="1:6">
      <c r="A39" s="1" t="s">
        <v>84</v>
      </c>
      <c r="B39" s="2" t="s">
        <v>85</v>
      </c>
      <c r="C39" s="1">
        <v>40611</v>
      </c>
      <c r="D39" s="1" t="s">
        <v>8</v>
      </c>
      <c r="E39" s="1" t="s">
        <v>9</v>
      </c>
      <c r="F39" s="1"/>
    </row>
    <row r="40" spans="1:6">
      <c r="A40" s="1" t="s">
        <v>86</v>
      </c>
      <c r="B40" s="2" t="s">
        <v>87</v>
      </c>
      <c r="C40" s="1">
        <v>3000</v>
      </c>
      <c r="D40" s="1" t="s">
        <v>8</v>
      </c>
      <c r="E40" s="1" t="s">
        <v>9</v>
      </c>
      <c r="F40" s="1"/>
    </row>
    <row r="41" spans="1:6">
      <c r="A41" s="1" t="s">
        <v>88</v>
      </c>
      <c r="B41" s="2" t="s">
        <v>89</v>
      </c>
      <c r="C41" s="1">
        <v>18000</v>
      </c>
      <c r="D41" s="1" t="s">
        <v>8</v>
      </c>
      <c r="E41" s="1" t="s">
        <v>9</v>
      </c>
      <c r="F41" s="1"/>
    </row>
    <row r="42" spans="1:6">
      <c r="A42" s="1" t="s">
        <v>90</v>
      </c>
      <c r="B42" s="2" t="s">
        <v>91</v>
      </c>
      <c r="C42" s="1">
        <v>421</v>
      </c>
      <c r="D42" s="1" t="s">
        <v>8</v>
      </c>
      <c r="E42" s="1" t="s">
        <v>9</v>
      </c>
      <c r="F42" s="1"/>
    </row>
    <row r="43" spans="1:6">
      <c r="A43" s="1" t="s">
        <v>92</v>
      </c>
      <c r="B43" s="2" t="s">
        <v>93</v>
      </c>
      <c r="C43" s="1">
        <v>4</v>
      </c>
      <c r="D43" s="1" t="s">
        <v>8</v>
      </c>
      <c r="E43" s="1" t="s">
        <v>9</v>
      </c>
      <c r="F43" s="1"/>
    </row>
    <row r="44" spans="1:6">
      <c r="A44" s="1" t="s">
        <v>94</v>
      </c>
      <c r="B44" s="2" t="s">
        <v>95</v>
      </c>
      <c r="C44" s="1">
        <v>5181</v>
      </c>
      <c r="D44" s="1" t="s">
        <v>8</v>
      </c>
      <c r="E44" s="1" t="s">
        <v>9</v>
      </c>
      <c r="F44" s="1"/>
    </row>
    <row r="45" spans="1:6">
      <c r="A45" s="1" t="s">
        <v>96</v>
      </c>
      <c r="B45" s="2" t="s">
        <v>97</v>
      </c>
      <c r="C45" s="1">
        <v>1379</v>
      </c>
      <c r="D45" s="1" t="s">
        <v>8</v>
      </c>
      <c r="E45" s="1" t="s">
        <v>9</v>
      </c>
      <c r="F45" s="1"/>
    </row>
    <row r="46" spans="1:6">
      <c r="A46" s="1" t="s">
        <v>98</v>
      </c>
      <c r="B46" s="2" t="s">
        <v>99</v>
      </c>
      <c r="C46" s="1">
        <v>3887</v>
      </c>
      <c r="D46" s="1" t="s">
        <v>8</v>
      </c>
      <c r="E46" s="1" t="s">
        <v>9</v>
      </c>
      <c r="F46" s="1"/>
    </row>
    <row r="47" spans="1:6">
      <c r="A47" s="1" t="s">
        <v>100</v>
      </c>
      <c r="B47" s="2" t="s">
        <v>101</v>
      </c>
      <c r="C47" s="1">
        <v>2000</v>
      </c>
      <c r="D47" s="1" t="s">
        <v>8</v>
      </c>
      <c r="E47" s="1" t="s">
        <v>9</v>
      </c>
      <c r="F47" s="1"/>
    </row>
    <row r="48" spans="1:6">
      <c r="A48" s="1" t="s">
        <v>102</v>
      </c>
      <c r="B48" s="2" t="s">
        <v>103</v>
      </c>
      <c r="C48" s="1">
        <v>2900</v>
      </c>
      <c r="D48" s="1" t="s">
        <v>8</v>
      </c>
      <c r="E48" s="1" t="s">
        <v>9</v>
      </c>
      <c r="F48" s="1"/>
    </row>
    <row r="49" spans="1:6">
      <c r="A49" s="1" t="s">
        <v>104</v>
      </c>
      <c r="B49" s="2" t="s">
        <v>105</v>
      </c>
      <c r="C49" s="1">
        <v>5000</v>
      </c>
      <c r="D49" s="1" t="s">
        <v>8</v>
      </c>
      <c r="E49" s="1" t="s">
        <v>9</v>
      </c>
      <c r="F49" s="1"/>
    </row>
    <row r="50" spans="1:6">
      <c r="A50" s="1" t="s">
        <v>106</v>
      </c>
      <c r="B50" s="2" t="s">
        <v>107</v>
      </c>
      <c r="C50" s="1">
        <v>5113</v>
      </c>
      <c r="D50" s="1" t="s">
        <v>8</v>
      </c>
      <c r="E50" s="1" t="s">
        <v>9</v>
      </c>
      <c r="F50" s="1"/>
    </row>
    <row r="51" spans="1:6">
      <c r="A51" s="1" t="s">
        <v>108</v>
      </c>
      <c r="B51" s="2" t="s">
        <v>109</v>
      </c>
      <c r="C51" s="1">
        <v>5000</v>
      </c>
      <c r="D51" s="1" t="s">
        <v>8</v>
      </c>
      <c r="E51" s="1" t="s">
        <v>9</v>
      </c>
      <c r="F51" s="1"/>
    </row>
    <row r="52" spans="1:6">
      <c r="A52" s="1" t="s">
        <v>110</v>
      </c>
      <c r="B52" s="2" t="s">
        <v>111</v>
      </c>
      <c r="C52" s="1">
        <v>609</v>
      </c>
      <c r="D52" s="1" t="s">
        <v>8</v>
      </c>
      <c r="E52" s="1" t="s">
        <v>9</v>
      </c>
      <c r="F52" s="1"/>
    </row>
    <row r="53" spans="1:6">
      <c r="A53" s="1" t="s">
        <v>112</v>
      </c>
      <c r="B53" s="2" t="s">
        <v>113</v>
      </c>
      <c r="C53" s="1">
        <v>18000</v>
      </c>
      <c r="D53" s="1" t="s">
        <v>8</v>
      </c>
      <c r="E53" s="1" t="s">
        <v>9</v>
      </c>
      <c r="F53" s="1"/>
    </row>
    <row r="54" spans="1:6">
      <c r="A54" s="1" t="s">
        <v>114</v>
      </c>
      <c r="B54" s="2" t="s">
        <v>115</v>
      </c>
      <c r="C54" s="1">
        <v>6055</v>
      </c>
      <c r="D54" s="1" t="s">
        <v>8</v>
      </c>
      <c r="E54" s="1" t="s">
        <v>9</v>
      </c>
      <c r="F54" s="1"/>
    </row>
    <row r="55" spans="1:6">
      <c r="A55" s="1" t="s">
        <v>116</v>
      </c>
      <c r="B55" s="2" t="s">
        <v>117</v>
      </c>
      <c r="C55" s="1">
        <v>9200</v>
      </c>
      <c r="D55" s="1" t="s">
        <v>8</v>
      </c>
      <c r="E55" s="1" t="s">
        <v>9</v>
      </c>
      <c r="F55" s="1"/>
    </row>
    <row r="56" spans="1:6">
      <c r="A56" s="1" t="s">
        <v>118</v>
      </c>
      <c r="B56" s="2" t="s">
        <v>119</v>
      </c>
      <c r="C56" s="1">
        <v>3256</v>
      </c>
      <c r="D56" s="1" t="s">
        <v>8</v>
      </c>
      <c r="E56" s="1" t="s">
        <v>9</v>
      </c>
      <c r="F56" s="1"/>
    </row>
    <row r="57" spans="1:6">
      <c r="A57" s="1" t="s">
        <v>120</v>
      </c>
      <c r="B57" s="2" t="s">
        <v>121</v>
      </c>
      <c r="C57" s="1">
        <v>10024</v>
      </c>
      <c r="D57" s="1" t="s">
        <v>8</v>
      </c>
      <c r="E57" s="1" t="s">
        <v>9</v>
      </c>
      <c r="F57" s="1"/>
    </row>
    <row r="58" spans="1:6">
      <c r="A58" s="1" t="s">
        <v>122</v>
      </c>
      <c r="B58" s="2" t="s">
        <v>123</v>
      </c>
      <c r="C58" s="1">
        <v>4924</v>
      </c>
      <c r="D58" s="1" t="s">
        <v>8</v>
      </c>
      <c r="E58" s="1" t="s">
        <v>9</v>
      </c>
      <c r="F58" s="1"/>
    </row>
    <row r="59" spans="1:6">
      <c r="A59" s="1" t="s">
        <v>124</v>
      </c>
      <c r="B59" s="2" t="s">
        <v>125</v>
      </c>
      <c r="C59" s="1">
        <v>2004</v>
      </c>
      <c r="D59" s="1" t="s">
        <v>8</v>
      </c>
      <c r="E59" s="1" t="s">
        <v>9</v>
      </c>
      <c r="F59" s="1"/>
    </row>
    <row r="60" spans="1:6">
      <c r="A60" s="1" t="s">
        <v>126</v>
      </c>
      <c r="B60" s="2" t="s">
        <v>127</v>
      </c>
      <c r="C60" s="1">
        <v>6098</v>
      </c>
      <c r="D60" s="1" t="s">
        <v>8</v>
      </c>
      <c r="E60" s="1" t="s">
        <v>9</v>
      </c>
      <c r="F60" s="1"/>
    </row>
    <row r="61" spans="1:6">
      <c r="A61" s="1" t="s">
        <v>128</v>
      </c>
      <c r="B61" s="2" t="s">
        <v>129</v>
      </c>
      <c r="C61" s="1">
        <v>5318</v>
      </c>
      <c r="D61" s="1" t="s">
        <v>8</v>
      </c>
      <c r="E61" s="1" t="s">
        <v>9</v>
      </c>
      <c r="F61" s="1"/>
    </row>
    <row r="62" spans="1:6">
      <c r="A62" s="1" t="s">
        <v>130</v>
      </c>
      <c r="B62" s="2" t="s">
        <v>131</v>
      </c>
      <c r="C62" s="1">
        <v>27500</v>
      </c>
      <c r="D62" s="1" t="s">
        <v>38</v>
      </c>
      <c r="E62" s="1" t="s">
        <v>39</v>
      </c>
      <c r="F62" s="1"/>
    </row>
    <row r="63" spans="1:6">
      <c r="A63" s="1" t="s">
        <v>132</v>
      </c>
      <c r="B63" s="2" t="s">
        <v>133</v>
      </c>
      <c r="C63" s="1">
        <v>7000</v>
      </c>
      <c r="D63" s="1" t="s">
        <v>8</v>
      </c>
      <c r="E63" s="1" t="s">
        <v>9</v>
      </c>
      <c r="F63" s="1"/>
    </row>
    <row r="64" spans="1:6">
      <c r="A64" s="1" t="s">
        <v>134</v>
      </c>
      <c r="B64" s="2" t="s">
        <v>135</v>
      </c>
      <c r="C64" s="1">
        <v>900</v>
      </c>
      <c r="D64" s="1" t="s">
        <v>8</v>
      </c>
      <c r="E64" s="1" t="s">
        <v>9</v>
      </c>
      <c r="F64" s="1"/>
    </row>
    <row r="65" spans="1:6">
      <c r="A65" s="1" t="s">
        <v>136</v>
      </c>
      <c r="B65" s="2" t="s">
        <v>137</v>
      </c>
      <c r="C65" s="1">
        <v>456</v>
      </c>
      <c r="D65" s="1" t="s">
        <v>8</v>
      </c>
      <c r="E65" s="1" t="s">
        <v>9</v>
      </c>
      <c r="F65" s="1"/>
    </row>
    <row r="66" spans="1:6">
      <c r="A66" s="1" t="s">
        <v>138</v>
      </c>
      <c r="B66" s="2" t="s">
        <v>139</v>
      </c>
      <c r="C66" s="1">
        <v>5000</v>
      </c>
      <c r="D66" s="1" t="s">
        <v>8</v>
      </c>
      <c r="E66" s="1" t="s">
        <v>9</v>
      </c>
      <c r="F66" s="1"/>
    </row>
    <row r="67" spans="1:6">
      <c r="A67" s="1" t="s">
        <v>140</v>
      </c>
      <c r="B67" s="2" t="s">
        <v>141</v>
      </c>
      <c r="C67" s="1">
        <v>6492</v>
      </c>
      <c r="D67" s="1" t="s">
        <v>8</v>
      </c>
      <c r="E67" s="1" t="s">
        <v>9</v>
      </c>
      <c r="F67" s="1"/>
    </row>
    <row r="68" spans="1:6">
      <c r="A68" s="1" t="s">
        <v>142</v>
      </c>
      <c r="B68" s="2" t="s">
        <v>143</v>
      </c>
      <c r="C68" s="1">
        <v>5866</v>
      </c>
      <c r="D68" s="1" t="s">
        <v>8</v>
      </c>
      <c r="E68" s="1" t="s">
        <v>9</v>
      </c>
      <c r="F68" s="1"/>
    </row>
    <row r="69" spans="1:6">
      <c r="A69" s="1" t="s">
        <v>144</v>
      </c>
      <c r="B69" s="2" t="s">
        <v>145</v>
      </c>
      <c r="C69" s="1">
        <v>9119</v>
      </c>
      <c r="D69" s="1" t="s">
        <v>8</v>
      </c>
      <c r="E69" s="1" t="s">
        <v>9</v>
      </c>
      <c r="F69" s="1"/>
    </row>
    <row r="70" spans="1:6">
      <c r="A70" s="1" t="s">
        <v>146</v>
      </c>
      <c r="B70" s="2" t="s">
        <v>147</v>
      </c>
      <c r="C70" s="1">
        <v>6000</v>
      </c>
      <c r="D70" s="1" t="s">
        <v>8</v>
      </c>
      <c r="E70" s="1" t="s">
        <v>9</v>
      </c>
      <c r="F70" s="1"/>
    </row>
    <row r="71" spans="1:6" hidden="1">
      <c r="A71" s="1" t="s">
        <v>148</v>
      </c>
      <c r="B71" s="2" t="s">
        <v>149</v>
      </c>
      <c r="C71" s="1">
        <v>0</v>
      </c>
      <c r="D71" s="1" t="s">
        <v>8</v>
      </c>
      <c r="E71" s="1" t="s">
        <v>9</v>
      </c>
      <c r="F71" s="1"/>
    </row>
    <row r="72" spans="1:6">
      <c r="A72" s="1" t="s">
        <v>150</v>
      </c>
      <c r="B72" s="2" t="s">
        <v>151</v>
      </c>
      <c r="C72" s="1">
        <v>5000</v>
      </c>
      <c r="D72" s="1" t="s">
        <v>38</v>
      </c>
      <c r="E72" s="1" t="s">
        <v>39</v>
      </c>
      <c r="F72" s="1"/>
    </row>
    <row r="73" spans="1:6">
      <c r="A73" s="1" t="s">
        <v>58</v>
      </c>
      <c r="B73" s="2" t="s">
        <v>59</v>
      </c>
      <c r="C73" s="1">
        <v>1541</v>
      </c>
      <c r="D73" s="1" t="s">
        <v>8</v>
      </c>
      <c r="E73" s="1" t="s">
        <v>9</v>
      </c>
      <c r="F73" s="1"/>
    </row>
    <row r="74" spans="1:6">
      <c r="A74" s="1" t="s">
        <v>152</v>
      </c>
      <c r="B74" s="2" t="s">
        <v>153</v>
      </c>
      <c r="C74" s="1">
        <v>23400</v>
      </c>
      <c r="D74" s="1" t="s">
        <v>38</v>
      </c>
      <c r="E74" s="1" t="s">
        <v>39</v>
      </c>
      <c r="F74" s="1"/>
    </row>
    <row r="75" spans="1:6">
      <c r="A75" s="1" t="s">
        <v>144</v>
      </c>
      <c r="B75" s="2" t="s">
        <v>145</v>
      </c>
      <c r="C75" s="1">
        <v>6500</v>
      </c>
      <c r="D75" s="1" t="s">
        <v>38</v>
      </c>
      <c r="E75" s="1" t="s">
        <v>39</v>
      </c>
      <c r="F75" s="1"/>
    </row>
    <row r="76" spans="1:6">
      <c r="A76" s="1" t="s">
        <v>154</v>
      </c>
      <c r="B76" s="2" t="s">
        <v>155</v>
      </c>
      <c r="C76" s="1">
        <v>30700</v>
      </c>
      <c r="D76" s="1" t="s">
        <v>38</v>
      </c>
      <c r="E76" s="1" t="s">
        <v>39</v>
      </c>
      <c r="F76" s="1"/>
    </row>
    <row r="77" spans="1:6">
      <c r="A77" s="1" t="s">
        <v>156</v>
      </c>
      <c r="B77" s="2" t="s">
        <v>157</v>
      </c>
      <c r="C77" s="1">
        <v>5000</v>
      </c>
      <c r="D77" s="1" t="s">
        <v>8</v>
      </c>
      <c r="E77" s="1" t="s">
        <v>9</v>
      </c>
      <c r="F77" s="1"/>
    </row>
    <row r="78" spans="1:6">
      <c r="A78" s="1" t="s">
        <v>150</v>
      </c>
      <c r="B78" s="2" t="s">
        <v>151</v>
      </c>
      <c r="C78" s="1">
        <v>6264</v>
      </c>
      <c r="D78" s="1" t="s">
        <v>8</v>
      </c>
      <c r="E78" s="1" t="s">
        <v>9</v>
      </c>
      <c r="F78" s="1"/>
    </row>
    <row r="79" spans="1:6">
      <c r="A79" s="1" t="s">
        <v>6</v>
      </c>
      <c r="B79" s="2" t="s">
        <v>7</v>
      </c>
      <c r="C79" s="1">
        <v>5500</v>
      </c>
      <c r="D79" s="1" t="s">
        <v>38</v>
      </c>
      <c r="E79" s="1" t="s">
        <v>39</v>
      </c>
      <c r="F79" s="1"/>
    </row>
    <row r="80" spans="1:6">
      <c r="A80" s="1" t="s">
        <v>158</v>
      </c>
      <c r="B80" s="2" t="s">
        <v>159</v>
      </c>
      <c r="C80" s="1">
        <v>148</v>
      </c>
      <c r="D80" s="1" t="s">
        <v>8</v>
      </c>
      <c r="E80" s="1" t="s">
        <v>9</v>
      </c>
      <c r="F80" s="1"/>
    </row>
    <row r="81" spans="1:6">
      <c r="A81" s="1" t="s">
        <v>160</v>
      </c>
      <c r="B81" s="2" t="s">
        <v>161</v>
      </c>
      <c r="C81" s="1">
        <v>2914</v>
      </c>
      <c r="D81" s="1" t="s">
        <v>8</v>
      </c>
      <c r="E81" s="1" t="s">
        <v>9</v>
      </c>
      <c r="F81" s="1"/>
    </row>
    <row r="82" spans="1:6">
      <c r="A82" s="1" t="s">
        <v>162</v>
      </c>
      <c r="B82" s="2" t="s">
        <v>163</v>
      </c>
      <c r="C82" s="1">
        <v>1432</v>
      </c>
      <c r="D82" s="1" t="s">
        <v>8</v>
      </c>
      <c r="E82" s="1" t="s">
        <v>9</v>
      </c>
      <c r="F82" s="1"/>
    </row>
    <row r="83" spans="1:6">
      <c r="A83" s="1" t="s">
        <v>164</v>
      </c>
      <c r="B83" s="2" t="s">
        <v>165</v>
      </c>
      <c r="C83" s="1">
        <v>20000</v>
      </c>
      <c r="D83" s="1" t="s">
        <v>8</v>
      </c>
      <c r="E83" s="1" t="s">
        <v>9</v>
      </c>
      <c r="F83" s="1"/>
    </row>
    <row r="84" spans="1:6" hidden="1">
      <c r="A84" s="1" t="s">
        <v>52</v>
      </c>
      <c r="B84" s="2" t="s">
        <v>53</v>
      </c>
      <c r="C84" s="1">
        <v>0</v>
      </c>
      <c r="D84" s="1" t="s">
        <v>38</v>
      </c>
      <c r="E84" s="1" t="s">
        <v>39</v>
      </c>
      <c r="F84" s="1"/>
    </row>
    <row r="85" spans="1:6">
      <c r="A85" s="1" t="s">
        <v>166</v>
      </c>
      <c r="B85" s="2" t="s">
        <v>167</v>
      </c>
      <c r="C85" s="1">
        <v>548</v>
      </c>
      <c r="D85" s="1" t="s">
        <v>8</v>
      </c>
      <c r="E85" s="1" t="s">
        <v>9</v>
      </c>
      <c r="F85" s="1"/>
    </row>
    <row r="86" spans="1:6">
      <c r="A86" s="1" t="s">
        <v>84</v>
      </c>
      <c r="B86" s="2" t="s">
        <v>85</v>
      </c>
      <c r="C86" s="1">
        <v>17500</v>
      </c>
      <c r="D86" s="1" t="s">
        <v>38</v>
      </c>
      <c r="E86" s="1" t="s">
        <v>39</v>
      </c>
      <c r="F86" s="1"/>
    </row>
    <row r="87" spans="1:6">
      <c r="A87" s="1" t="s">
        <v>168</v>
      </c>
      <c r="B87" s="2" t="s">
        <v>169</v>
      </c>
      <c r="C87" s="1">
        <v>2519</v>
      </c>
      <c r="D87" s="1" t="s">
        <v>8</v>
      </c>
      <c r="E87" s="1" t="s">
        <v>9</v>
      </c>
      <c r="F87" s="1"/>
    </row>
    <row r="88" spans="1:6">
      <c r="A88" s="1" t="s">
        <v>162</v>
      </c>
      <c r="B88" s="2" t="s">
        <v>163</v>
      </c>
      <c r="C88" s="1">
        <v>821</v>
      </c>
      <c r="D88" s="1" t="s">
        <v>38</v>
      </c>
      <c r="E88" s="1" t="s">
        <v>39</v>
      </c>
      <c r="F88" s="1"/>
    </row>
    <row r="89" spans="1:6">
      <c r="A89" s="1" t="s">
        <v>170</v>
      </c>
      <c r="B89" s="2" t="s">
        <v>171</v>
      </c>
      <c r="C89" s="1">
        <v>2061</v>
      </c>
      <c r="D89" s="1" t="s">
        <v>8</v>
      </c>
      <c r="E89" s="1" t="s">
        <v>9</v>
      </c>
      <c r="F89" s="1"/>
    </row>
    <row r="90" spans="1:6">
      <c r="A90" s="1" t="s">
        <v>172</v>
      </c>
      <c r="B90" s="2" t="s">
        <v>173</v>
      </c>
      <c r="C90" s="1">
        <v>20000</v>
      </c>
      <c r="D90" s="1" t="s">
        <v>8</v>
      </c>
      <c r="E90" s="1" t="s">
        <v>9</v>
      </c>
      <c r="F90" s="1"/>
    </row>
    <row r="91" spans="1:6">
      <c r="A91" s="1" t="s">
        <v>174</v>
      </c>
      <c r="B91" s="2" t="s">
        <v>175</v>
      </c>
      <c r="C91" s="1">
        <v>558</v>
      </c>
      <c r="D91" s="1" t="s">
        <v>8</v>
      </c>
      <c r="E91" s="1" t="s">
        <v>9</v>
      </c>
      <c r="F91" s="1"/>
    </row>
    <row r="92" spans="1:6" hidden="1">
      <c r="A92" s="1" t="s">
        <v>176</v>
      </c>
      <c r="B92" s="2" t="s">
        <v>177</v>
      </c>
      <c r="C92" s="1">
        <v>0</v>
      </c>
      <c r="D92" s="1" t="s">
        <v>8</v>
      </c>
      <c r="E92" s="1" t="s">
        <v>9</v>
      </c>
      <c r="F92" s="1"/>
    </row>
    <row r="93" spans="1:6">
      <c r="A93" s="1" t="s">
        <v>56</v>
      </c>
      <c r="B93" s="2" t="s">
        <v>57</v>
      </c>
      <c r="C93" s="1">
        <v>33</v>
      </c>
      <c r="D93" s="1" t="s">
        <v>8</v>
      </c>
      <c r="E93" s="1" t="s">
        <v>9</v>
      </c>
      <c r="F93" s="1"/>
    </row>
    <row r="94" spans="1:6">
      <c r="A94" s="1" t="s">
        <v>120</v>
      </c>
      <c r="B94" s="2" t="s">
        <v>121</v>
      </c>
      <c r="C94" s="1">
        <v>7000</v>
      </c>
      <c r="D94" s="1" t="s">
        <v>38</v>
      </c>
      <c r="E94" s="1" t="s">
        <v>39</v>
      </c>
      <c r="F94" s="1"/>
    </row>
    <row r="95" spans="1:6">
      <c r="A95" s="1" t="s">
        <v>178</v>
      </c>
      <c r="B95" s="2" t="s">
        <v>179</v>
      </c>
      <c r="C95" s="1">
        <v>6300</v>
      </c>
      <c r="D95" s="1" t="s">
        <v>38</v>
      </c>
      <c r="E95" s="1" t="s">
        <v>39</v>
      </c>
      <c r="F95" s="1"/>
    </row>
    <row r="96" spans="1:6">
      <c r="A96" s="1" t="s">
        <v>180</v>
      </c>
      <c r="B96" s="2" t="s">
        <v>181</v>
      </c>
      <c r="C96" s="1">
        <v>22000</v>
      </c>
      <c r="D96" s="1" t="s">
        <v>8</v>
      </c>
      <c r="E96" s="1" t="s">
        <v>9</v>
      </c>
      <c r="F96" s="1"/>
    </row>
    <row r="97" spans="1:6">
      <c r="A97" s="1" t="s">
        <v>182</v>
      </c>
      <c r="B97" s="2" t="s">
        <v>183</v>
      </c>
      <c r="C97" s="1">
        <v>8000</v>
      </c>
      <c r="D97" s="1" t="s">
        <v>8</v>
      </c>
      <c r="E97" s="1" t="s">
        <v>9</v>
      </c>
      <c r="F97" s="1"/>
    </row>
    <row r="98" spans="1:6">
      <c r="A98" s="1" t="s">
        <v>42</v>
      </c>
      <c r="B98" s="2" t="s">
        <v>43</v>
      </c>
      <c r="C98" s="1">
        <v>600</v>
      </c>
      <c r="D98" s="1" t="s">
        <v>8</v>
      </c>
      <c r="E98" s="1" t="s">
        <v>9</v>
      </c>
      <c r="F98" s="1"/>
    </row>
    <row r="99" spans="1:6">
      <c r="A99" s="1" t="s">
        <v>184</v>
      </c>
      <c r="B99" s="2" t="s">
        <v>185</v>
      </c>
      <c r="C99" s="1">
        <v>25000</v>
      </c>
      <c r="D99" s="1" t="s">
        <v>8</v>
      </c>
      <c r="E99" s="1" t="s">
        <v>9</v>
      </c>
      <c r="F99" s="1"/>
    </row>
    <row r="100" spans="1:6">
      <c r="A100" s="1" t="s">
        <v>186</v>
      </c>
      <c r="B100" s="2" t="s">
        <v>187</v>
      </c>
      <c r="C100" s="1">
        <v>500</v>
      </c>
      <c r="D100" s="1" t="s">
        <v>8</v>
      </c>
      <c r="E100" s="1" t="s">
        <v>9</v>
      </c>
      <c r="F100" s="1"/>
    </row>
    <row r="101" spans="1:6">
      <c r="A101" s="1" t="s">
        <v>50</v>
      </c>
      <c r="B101" s="2" t="s">
        <v>51</v>
      </c>
      <c r="C101" s="1">
        <v>5</v>
      </c>
      <c r="D101" s="1" t="s">
        <v>38</v>
      </c>
      <c r="E101" s="1" t="s">
        <v>188</v>
      </c>
      <c r="F101" s="1"/>
    </row>
    <row r="102" spans="1:6">
      <c r="A102" s="1" t="s">
        <v>74</v>
      </c>
      <c r="B102" s="2" t="s">
        <v>75</v>
      </c>
      <c r="C102" s="1">
        <v>9</v>
      </c>
      <c r="D102" s="1" t="s">
        <v>38</v>
      </c>
      <c r="E102" s="1" t="s">
        <v>188</v>
      </c>
      <c r="F102" s="1"/>
    </row>
    <row r="103" spans="1:6">
      <c r="A103" s="1" t="s">
        <v>48</v>
      </c>
      <c r="B103" s="2" t="s">
        <v>49</v>
      </c>
      <c r="C103" s="1">
        <v>30</v>
      </c>
      <c r="D103" s="1" t="s">
        <v>38</v>
      </c>
      <c r="E103" s="1" t="s">
        <v>188</v>
      </c>
      <c r="F103" s="1"/>
    </row>
    <row r="104" spans="1:6">
      <c r="A104" s="1" t="s">
        <v>128</v>
      </c>
      <c r="B104" s="2" t="s">
        <v>129</v>
      </c>
      <c r="C104" s="1">
        <v>100</v>
      </c>
      <c r="D104" s="1" t="s">
        <v>38</v>
      </c>
      <c r="E104" s="1" t="s">
        <v>188</v>
      </c>
      <c r="F104" s="1"/>
    </row>
    <row r="105" spans="1:6">
      <c r="A105" s="1" t="s">
        <v>86</v>
      </c>
      <c r="B105" s="2" t="s">
        <v>87</v>
      </c>
      <c r="C105" s="1">
        <v>26</v>
      </c>
      <c r="D105" s="1" t="s">
        <v>38</v>
      </c>
      <c r="E105" s="1" t="s">
        <v>188</v>
      </c>
      <c r="F105" s="1"/>
    </row>
    <row r="106" spans="1:6">
      <c r="A106" s="1" t="s">
        <v>170</v>
      </c>
      <c r="B106" s="2" t="s">
        <v>171</v>
      </c>
      <c r="C106" s="1">
        <v>100</v>
      </c>
      <c r="D106" s="1" t="s">
        <v>38</v>
      </c>
      <c r="E106" s="1" t="s">
        <v>188</v>
      </c>
      <c r="F106" s="1"/>
    </row>
    <row r="107" spans="1:6">
      <c r="A107" s="1" t="s">
        <v>168</v>
      </c>
      <c r="B107" s="2" t="s">
        <v>169</v>
      </c>
      <c r="C107" s="1">
        <v>50</v>
      </c>
      <c r="D107" s="1" t="s">
        <v>38</v>
      </c>
      <c r="E107" s="1" t="s">
        <v>188</v>
      </c>
      <c r="F107" s="1"/>
    </row>
    <row r="108" spans="1:6">
      <c r="A108" s="1" t="s">
        <v>74</v>
      </c>
      <c r="B108" s="2" t="s">
        <v>75</v>
      </c>
      <c r="C108" s="1">
        <v>20</v>
      </c>
      <c r="D108" s="1" t="s">
        <v>38</v>
      </c>
      <c r="E108" s="1" t="s">
        <v>188</v>
      </c>
      <c r="F108" s="1"/>
    </row>
    <row r="109" spans="1:6">
      <c r="A109" s="1" t="s">
        <v>100</v>
      </c>
      <c r="B109" s="2" t="s">
        <v>101</v>
      </c>
      <c r="C109" s="1">
        <v>47</v>
      </c>
      <c r="D109" s="1" t="s">
        <v>38</v>
      </c>
      <c r="E109" s="1" t="s">
        <v>188</v>
      </c>
      <c r="F109" s="1"/>
    </row>
    <row r="110" spans="1:6">
      <c r="A110" s="1" t="s">
        <v>140</v>
      </c>
      <c r="B110" s="2" t="s">
        <v>141</v>
      </c>
      <c r="C110" s="1">
        <v>70</v>
      </c>
      <c r="D110" s="1" t="s">
        <v>38</v>
      </c>
      <c r="E110" s="1" t="s">
        <v>188</v>
      </c>
      <c r="F110" s="1"/>
    </row>
    <row r="111" spans="1:6">
      <c r="A111" s="1" t="s">
        <v>180</v>
      </c>
      <c r="B111" s="2" t="s">
        <v>181</v>
      </c>
      <c r="C111" s="1">
        <v>300</v>
      </c>
      <c r="D111" s="1" t="s">
        <v>38</v>
      </c>
      <c r="E111" s="1" t="s">
        <v>188</v>
      </c>
      <c r="F111" s="1"/>
    </row>
    <row r="112" spans="1:6">
      <c r="A112" s="1" t="s">
        <v>170</v>
      </c>
      <c r="B112" s="2" t="s">
        <v>171</v>
      </c>
      <c r="C112" s="1">
        <v>100</v>
      </c>
      <c r="D112" s="1" t="s">
        <v>38</v>
      </c>
      <c r="E112" s="1" t="s">
        <v>188</v>
      </c>
      <c r="F112" s="1"/>
    </row>
    <row r="113" spans="1:6">
      <c r="A113" s="1" t="s">
        <v>168</v>
      </c>
      <c r="B113" s="2" t="s">
        <v>169</v>
      </c>
      <c r="C113" s="1">
        <v>50</v>
      </c>
      <c r="D113" s="1" t="s">
        <v>38</v>
      </c>
      <c r="E113" s="1" t="s">
        <v>188</v>
      </c>
      <c r="F113" s="1"/>
    </row>
    <row r="114" spans="1:6">
      <c r="A114" s="1" t="s">
        <v>100</v>
      </c>
      <c r="B114" s="2" t="s">
        <v>101</v>
      </c>
      <c r="C114" s="1">
        <v>50</v>
      </c>
      <c r="D114" s="1" t="s">
        <v>38</v>
      </c>
      <c r="E114" s="1" t="s">
        <v>188</v>
      </c>
      <c r="F114" s="1"/>
    </row>
    <row r="115" spans="1:6">
      <c r="A115" s="1" t="s">
        <v>189</v>
      </c>
      <c r="B115" s="2" t="s">
        <v>190</v>
      </c>
      <c r="C115" s="1">
        <v>163</v>
      </c>
      <c r="D115" s="1" t="s">
        <v>38</v>
      </c>
      <c r="E115" s="1" t="s">
        <v>188</v>
      </c>
      <c r="F115" s="1"/>
    </row>
    <row r="116" spans="1:6">
      <c r="A116" s="1" t="s">
        <v>86</v>
      </c>
      <c r="B116" s="2" t="s">
        <v>87</v>
      </c>
      <c r="C116" s="1">
        <v>200</v>
      </c>
      <c r="D116" s="1" t="s">
        <v>38</v>
      </c>
      <c r="E116" s="1" t="s">
        <v>188</v>
      </c>
      <c r="F116" s="1"/>
    </row>
    <row r="117" spans="1:6">
      <c r="A117" s="1" t="s">
        <v>191</v>
      </c>
      <c r="B117" s="2" t="s">
        <v>192</v>
      </c>
      <c r="C117" s="1">
        <v>93</v>
      </c>
      <c r="D117" s="1" t="s">
        <v>38</v>
      </c>
      <c r="E117" s="1" t="s">
        <v>188</v>
      </c>
      <c r="F117" s="1"/>
    </row>
    <row r="118" spans="1:6">
      <c r="A118" s="1" t="s">
        <v>100</v>
      </c>
      <c r="B118" s="2" t="s">
        <v>101</v>
      </c>
      <c r="C118" s="1">
        <v>680</v>
      </c>
      <c r="D118" s="1" t="s">
        <v>38</v>
      </c>
      <c r="E118" s="1" t="s">
        <v>188</v>
      </c>
      <c r="F118" s="1"/>
    </row>
    <row r="119" spans="1:6">
      <c r="A119" s="1" t="s">
        <v>193</v>
      </c>
      <c r="B119" s="2" t="s">
        <v>194</v>
      </c>
      <c r="C119" s="1">
        <v>615</v>
      </c>
      <c r="D119" s="1" t="s">
        <v>38</v>
      </c>
      <c r="E119" s="1" t="s">
        <v>188</v>
      </c>
      <c r="F119" s="1"/>
    </row>
    <row r="120" spans="1:6">
      <c r="A120" s="1" t="s">
        <v>195</v>
      </c>
      <c r="B120" s="2" t="s">
        <v>196</v>
      </c>
      <c r="C120" s="1">
        <v>93</v>
      </c>
      <c r="D120" s="1" t="s">
        <v>38</v>
      </c>
      <c r="E120" s="1" t="s">
        <v>188</v>
      </c>
      <c r="F120" s="1"/>
    </row>
    <row r="121" spans="1:6">
      <c r="A121" s="1" t="s">
        <v>82</v>
      </c>
      <c r="B121" s="2" t="s">
        <v>83</v>
      </c>
      <c r="C121" s="1">
        <v>30</v>
      </c>
      <c r="D121" s="1" t="s">
        <v>38</v>
      </c>
      <c r="E121" s="1" t="s">
        <v>188</v>
      </c>
      <c r="F121" s="1"/>
    </row>
    <row r="122" spans="1:6">
      <c r="A122" s="1" t="s">
        <v>197</v>
      </c>
      <c r="B122" s="2" t="s">
        <v>198</v>
      </c>
      <c r="C122" s="1">
        <v>1160</v>
      </c>
      <c r="D122" s="1" t="s">
        <v>38</v>
      </c>
      <c r="E122" s="1" t="s">
        <v>188</v>
      </c>
      <c r="F122" s="1"/>
    </row>
    <row r="123" spans="1:6">
      <c r="A123" s="1" t="s">
        <v>52</v>
      </c>
      <c r="B123" s="2" t="s">
        <v>53</v>
      </c>
      <c r="C123" s="1">
        <v>1438</v>
      </c>
      <c r="D123" s="1" t="s">
        <v>38</v>
      </c>
      <c r="E123" s="1" t="s">
        <v>188</v>
      </c>
      <c r="F123" s="1"/>
    </row>
    <row r="124" spans="1:6">
      <c r="A124" s="1" t="s">
        <v>106</v>
      </c>
      <c r="B124" s="2" t="s">
        <v>107</v>
      </c>
      <c r="C124" s="1">
        <v>1740</v>
      </c>
      <c r="D124" s="1" t="s">
        <v>38</v>
      </c>
      <c r="E124" s="1" t="s">
        <v>188</v>
      </c>
      <c r="F124" s="1"/>
    </row>
    <row r="125" spans="1:6">
      <c r="A125" s="1" t="s">
        <v>199</v>
      </c>
      <c r="B125" s="2" t="s">
        <v>200</v>
      </c>
      <c r="C125" s="1">
        <v>11</v>
      </c>
      <c r="D125" s="1" t="s">
        <v>38</v>
      </c>
      <c r="E125" s="1" t="s">
        <v>188</v>
      </c>
      <c r="F125" s="1"/>
    </row>
    <row r="126" spans="1:6">
      <c r="A126" s="1" t="s">
        <v>86</v>
      </c>
      <c r="B126" s="2" t="s">
        <v>87</v>
      </c>
      <c r="C126" s="1">
        <v>200</v>
      </c>
      <c r="D126" s="1" t="s">
        <v>38</v>
      </c>
      <c r="E126" s="1" t="s">
        <v>188</v>
      </c>
      <c r="F126" s="1"/>
    </row>
    <row r="127" spans="1:6">
      <c r="A127" s="1" t="s">
        <v>201</v>
      </c>
      <c r="B127" s="2" t="s">
        <v>202</v>
      </c>
      <c r="C127" s="1">
        <v>423</v>
      </c>
      <c r="D127" s="1" t="s">
        <v>38</v>
      </c>
      <c r="E127" s="1" t="s">
        <v>188</v>
      </c>
      <c r="F127" s="1"/>
    </row>
    <row r="128" spans="1:6">
      <c r="A128" s="1" t="s">
        <v>203</v>
      </c>
      <c r="B128" s="2" t="s">
        <v>204</v>
      </c>
      <c r="C128" s="1">
        <v>159</v>
      </c>
      <c r="D128" s="1" t="s">
        <v>38</v>
      </c>
      <c r="E128" s="1" t="s">
        <v>188</v>
      </c>
      <c r="F128" s="1"/>
    </row>
    <row r="129" spans="1:6">
      <c r="A129" s="1" t="s">
        <v>100</v>
      </c>
      <c r="B129" s="2" t="s">
        <v>101</v>
      </c>
      <c r="C129" s="1">
        <v>300</v>
      </c>
      <c r="D129" s="1" t="s">
        <v>38</v>
      </c>
      <c r="E129" s="1" t="s">
        <v>188</v>
      </c>
      <c r="F129" s="1"/>
    </row>
    <row r="130" spans="1:6">
      <c r="A130" s="1" t="s">
        <v>74</v>
      </c>
      <c r="B130" s="2" t="s">
        <v>75</v>
      </c>
      <c r="C130" s="1">
        <v>30</v>
      </c>
      <c r="D130" s="1" t="s">
        <v>38</v>
      </c>
      <c r="E130" s="1" t="s">
        <v>188</v>
      </c>
      <c r="F130" s="1"/>
    </row>
    <row r="131" spans="1:6">
      <c r="A131" s="1" t="s">
        <v>205</v>
      </c>
      <c r="B131" s="2" t="s">
        <v>206</v>
      </c>
      <c r="C131" s="1">
        <v>20</v>
      </c>
      <c r="D131" s="1" t="s">
        <v>38</v>
      </c>
      <c r="E131" s="1" t="s">
        <v>188</v>
      </c>
      <c r="F131" s="1"/>
    </row>
    <row r="132" spans="1:6">
      <c r="A132" s="1" t="s">
        <v>144</v>
      </c>
      <c r="B132" s="2" t="s">
        <v>207</v>
      </c>
      <c r="C132" s="1">
        <v>12</v>
      </c>
      <c r="D132" s="1" t="s">
        <v>38</v>
      </c>
      <c r="E132" s="1" t="s">
        <v>188</v>
      </c>
      <c r="F132" s="1"/>
    </row>
    <row r="133" spans="1:6">
      <c r="A133" s="1" t="s">
        <v>208</v>
      </c>
      <c r="B133" s="2" t="s">
        <v>209</v>
      </c>
      <c r="C133" s="1">
        <v>300</v>
      </c>
      <c r="D133" s="1" t="s">
        <v>38</v>
      </c>
      <c r="E133" s="1" t="s">
        <v>188</v>
      </c>
      <c r="F133" s="1"/>
    </row>
    <row r="134" spans="1:6">
      <c r="A134" s="1" t="s">
        <v>203</v>
      </c>
      <c r="B134" s="2" t="s">
        <v>204</v>
      </c>
      <c r="C134" s="1">
        <v>13</v>
      </c>
      <c r="D134" s="1" t="s">
        <v>38</v>
      </c>
      <c r="E134" s="1" t="s">
        <v>188</v>
      </c>
      <c r="F134" s="1"/>
    </row>
  </sheetData>
  <autoFilter ref="A1:F134" xr:uid="{0A104255-AC61-4CDD-B30D-A39D09052FFA}">
    <filterColumn colId="2">
      <filters>
        <filter val="100"/>
        <filter val="10024"/>
        <filter val="1079"/>
        <filter val="11"/>
        <filter val="1160"/>
        <filter val="11846"/>
        <filter val="12"/>
        <filter val="12000"/>
        <filter val="13"/>
        <filter val="1379"/>
        <filter val="1432"/>
        <filter val="1438"/>
        <filter val="148"/>
        <filter val="15000"/>
        <filter val="1541"/>
        <filter val="1557"/>
        <filter val="159"/>
        <filter val="163"/>
        <filter val="1703"/>
        <filter val="1740"/>
        <filter val="17500"/>
        <filter val="18000"/>
        <filter val="1802"/>
        <filter val="20"/>
        <filter val="200"/>
        <filter val="2000"/>
        <filter val="20000"/>
        <filter val="2004"/>
        <filter val="2061"/>
        <filter val="2136"/>
        <filter val="22000"/>
        <filter val="23400"/>
        <filter val="25000"/>
        <filter val="2519"/>
        <filter val="26"/>
        <filter val="27500"/>
        <filter val="2847"/>
        <filter val="2900"/>
        <filter val="2914"/>
        <filter val="30"/>
        <filter val="300"/>
        <filter val="3000"/>
        <filter val="3005"/>
        <filter val="30700"/>
        <filter val="3256"/>
        <filter val="33"/>
        <filter val="3887"/>
        <filter val="4"/>
        <filter val="400"/>
        <filter val="4000"/>
        <filter val="40611"/>
        <filter val="421"/>
        <filter val="423"/>
        <filter val="456"/>
        <filter val="47"/>
        <filter val="4924"/>
        <filter val="5"/>
        <filter val="50"/>
        <filter val="500"/>
        <filter val="5000"/>
        <filter val="5113"/>
        <filter val="5181"/>
        <filter val="5318"/>
        <filter val="548"/>
        <filter val="5500"/>
        <filter val="55000"/>
        <filter val="558"/>
        <filter val="5668"/>
        <filter val="579"/>
        <filter val="5866"/>
        <filter val="600"/>
        <filter val="6000"/>
        <filter val="6055"/>
        <filter val="609"/>
        <filter val="6098"/>
        <filter val="615"/>
        <filter val="6264"/>
        <filter val="6300"/>
        <filter val="6492"/>
        <filter val="6500"/>
        <filter val="680"/>
        <filter val="70"/>
        <filter val="700"/>
        <filter val="7000"/>
        <filter val="752"/>
        <filter val="8000"/>
        <filter val="821"/>
        <filter val="8500"/>
        <filter val="9"/>
        <filter val="900"/>
        <filter val="9000"/>
        <filter val="9119"/>
        <filter val="9200"/>
        <filter val="9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774B-0123-4FC3-98DF-B877B88EB181}">
  <dimension ref="A3:C104"/>
  <sheetViews>
    <sheetView workbookViewId="0">
      <selection activeCell="A3" sqref="A3"/>
    </sheetView>
  </sheetViews>
  <sheetFormatPr defaultRowHeight="15"/>
  <cols>
    <col min="1" max="1" width="22" bestFit="1" customWidth="1"/>
    <col min="2" max="2" width="19.42578125" bestFit="1" customWidth="1"/>
    <col min="3" max="3" width="31.42578125" bestFit="1" customWidth="1"/>
  </cols>
  <sheetData>
    <row r="3" spans="1:3">
      <c r="A3" s="7" t="s">
        <v>0</v>
      </c>
      <c r="B3" t="s">
        <v>210</v>
      </c>
      <c r="C3" t="s">
        <v>211</v>
      </c>
    </row>
    <row r="4" spans="1:3">
      <c r="A4" t="s">
        <v>30</v>
      </c>
      <c r="B4">
        <v>1703</v>
      </c>
      <c r="C4">
        <v>2.0024853513130916</v>
      </c>
    </row>
    <row r="5" spans="1:3">
      <c r="A5" t="s">
        <v>18</v>
      </c>
      <c r="B5">
        <v>5668</v>
      </c>
      <c r="C5">
        <v>2.0082718562786863</v>
      </c>
    </row>
    <row r="6" spans="1:3">
      <c r="A6" t="s">
        <v>58</v>
      </c>
      <c r="B6">
        <v>1941</v>
      </c>
      <c r="C6">
        <v>4.0005837583824055</v>
      </c>
    </row>
    <row r="7" spans="1:3">
      <c r="A7" t="s">
        <v>10</v>
      </c>
      <c r="B7">
        <v>1802</v>
      </c>
      <c r="C7">
        <v>2.0026298315127367</v>
      </c>
    </row>
    <row r="8" spans="1:3">
      <c r="A8" t="s">
        <v>68</v>
      </c>
      <c r="B8">
        <v>6500</v>
      </c>
      <c r="C8">
        <v>4.0094860737140898</v>
      </c>
    </row>
    <row r="9" spans="1:3">
      <c r="A9" t="s">
        <v>84</v>
      </c>
      <c r="B9">
        <v>58111</v>
      </c>
      <c r="C9">
        <v>4.0255394292302418</v>
      </c>
    </row>
    <row r="10" spans="1:3">
      <c r="A10" t="s">
        <v>189</v>
      </c>
      <c r="B10">
        <v>163</v>
      </c>
      <c r="C10">
        <v>3.0002378815408304</v>
      </c>
    </row>
    <row r="11" spans="1:3">
      <c r="A11" t="s">
        <v>208</v>
      </c>
      <c r="B11">
        <v>300</v>
      </c>
      <c r="C11">
        <v>3.0004378187868039</v>
      </c>
    </row>
    <row r="12" spans="1:3">
      <c r="A12" t="s">
        <v>102</v>
      </c>
      <c r="B12">
        <v>2900</v>
      </c>
      <c r="C12">
        <v>2.00423224827244</v>
      </c>
    </row>
    <row r="13" spans="1:3">
      <c r="A13" t="s">
        <v>205</v>
      </c>
      <c r="B13">
        <v>20</v>
      </c>
      <c r="C13">
        <v>3.0000291879191203</v>
      </c>
    </row>
    <row r="14" spans="1:3">
      <c r="A14" t="s">
        <v>193</v>
      </c>
      <c r="B14">
        <v>615</v>
      </c>
      <c r="C14">
        <v>3.0008975285129487</v>
      </c>
    </row>
    <row r="15" spans="1:3">
      <c r="A15" t="s">
        <v>6</v>
      </c>
      <c r="B15">
        <v>17346</v>
      </c>
      <c r="C15">
        <v>4.0080266777580755</v>
      </c>
    </row>
    <row r="16" spans="1:3">
      <c r="A16" t="s">
        <v>42</v>
      </c>
      <c r="B16">
        <v>1300</v>
      </c>
      <c r="C16">
        <v>4.0010215771692099</v>
      </c>
    </row>
    <row r="17" spans="1:3">
      <c r="A17" t="s">
        <v>195</v>
      </c>
      <c r="B17">
        <v>93</v>
      </c>
      <c r="C17">
        <v>3.0001357238239095</v>
      </c>
    </row>
    <row r="18" spans="1:3">
      <c r="A18" t="s">
        <v>26</v>
      </c>
      <c r="B18">
        <v>1079</v>
      </c>
      <c r="C18">
        <v>2.0015746882365391</v>
      </c>
    </row>
    <row r="19" spans="1:3">
      <c r="A19" t="s">
        <v>144</v>
      </c>
      <c r="B19">
        <v>15631</v>
      </c>
      <c r="C19">
        <v>4.0094860737140898</v>
      </c>
    </row>
    <row r="20" spans="1:3">
      <c r="A20" t="s">
        <v>62</v>
      </c>
      <c r="B20">
        <v>0</v>
      </c>
      <c r="C20">
        <v>2</v>
      </c>
    </row>
    <row r="21" spans="1:3">
      <c r="A21" t="s">
        <v>40</v>
      </c>
      <c r="B21">
        <v>148</v>
      </c>
      <c r="C21">
        <v>2.00021599060149</v>
      </c>
    </row>
    <row r="22" spans="1:3">
      <c r="A22" t="s">
        <v>164</v>
      </c>
      <c r="B22">
        <v>20000</v>
      </c>
      <c r="C22">
        <v>2.0291879191202762</v>
      </c>
    </row>
    <row r="23" spans="1:3">
      <c r="A23" t="s">
        <v>22</v>
      </c>
      <c r="B23">
        <v>8000</v>
      </c>
      <c r="C23">
        <v>2.0116751676481104</v>
      </c>
    </row>
    <row r="24" spans="1:3">
      <c r="A24" t="s">
        <v>56</v>
      </c>
      <c r="B24">
        <v>8533</v>
      </c>
      <c r="C24">
        <v>4.0124048656261175</v>
      </c>
    </row>
    <row r="25" spans="1:3">
      <c r="A25" t="s">
        <v>146</v>
      </c>
      <c r="B25">
        <v>6000</v>
      </c>
      <c r="C25">
        <v>2.0087563757360827</v>
      </c>
    </row>
    <row r="26" spans="1:3">
      <c r="A26" t="s">
        <v>20</v>
      </c>
      <c r="B26">
        <v>5000</v>
      </c>
      <c r="C26">
        <v>2.0072969797800688</v>
      </c>
    </row>
    <row r="27" spans="1:3">
      <c r="A27" t="s">
        <v>104</v>
      </c>
      <c r="B27">
        <v>5000</v>
      </c>
      <c r="C27">
        <v>2.0072969797800688</v>
      </c>
    </row>
    <row r="28" spans="1:3">
      <c r="A28" t="s">
        <v>108</v>
      </c>
      <c r="B28">
        <v>5000</v>
      </c>
      <c r="C28">
        <v>2.0072969797800688</v>
      </c>
    </row>
    <row r="29" spans="1:3">
      <c r="A29" t="s">
        <v>46</v>
      </c>
      <c r="B29">
        <v>8000</v>
      </c>
      <c r="C29">
        <v>2.0116751676481104</v>
      </c>
    </row>
    <row r="30" spans="1:3">
      <c r="A30" t="s">
        <v>134</v>
      </c>
      <c r="B30">
        <v>900</v>
      </c>
      <c r="C30">
        <v>2.0013134563604122</v>
      </c>
    </row>
    <row r="31" spans="1:3">
      <c r="A31" t="s">
        <v>52</v>
      </c>
      <c r="B31">
        <v>2190</v>
      </c>
      <c r="C31">
        <v>4</v>
      </c>
    </row>
    <row r="32" spans="1:3">
      <c r="A32" t="s">
        <v>178</v>
      </c>
      <c r="B32">
        <v>6300</v>
      </c>
      <c r="C32">
        <v>4.0091941945228866</v>
      </c>
    </row>
    <row r="33" spans="1:3">
      <c r="A33" t="s">
        <v>148</v>
      </c>
      <c r="B33">
        <v>0</v>
      </c>
      <c r="C33">
        <v>2</v>
      </c>
    </row>
    <row r="34" spans="1:3">
      <c r="A34" t="s">
        <v>160</v>
      </c>
      <c r="B34">
        <v>2914</v>
      </c>
      <c r="C34">
        <v>2.0042526798158242</v>
      </c>
    </row>
    <row r="35" spans="1:3">
      <c r="A35" t="s">
        <v>70</v>
      </c>
      <c r="B35">
        <v>0</v>
      </c>
      <c r="C35">
        <v>2</v>
      </c>
    </row>
    <row r="36" spans="1:3">
      <c r="A36" t="s">
        <v>184</v>
      </c>
      <c r="B36">
        <v>25000</v>
      </c>
      <c r="C36">
        <v>2.036484898900345</v>
      </c>
    </row>
    <row r="37" spans="1:3">
      <c r="A37" t="s">
        <v>98</v>
      </c>
      <c r="B37">
        <v>3887</v>
      </c>
      <c r="C37">
        <v>2.0056726720810256</v>
      </c>
    </row>
    <row r="38" spans="1:3">
      <c r="A38" t="s">
        <v>36</v>
      </c>
      <c r="B38">
        <v>55000</v>
      </c>
      <c r="C38">
        <v>4.0802667775807597</v>
      </c>
    </row>
    <row r="39" spans="1:3">
      <c r="A39" t="s">
        <v>114</v>
      </c>
      <c r="B39">
        <v>6055</v>
      </c>
      <c r="C39">
        <v>2.0088366425136637</v>
      </c>
    </row>
    <row r="40" spans="1:3">
      <c r="A40" t="s">
        <v>156</v>
      </c>
      <c r="B40">
        <v>5000</v>
      </c>
      <c r="C40">
        <v>2.0072969797800688</v>
      </c>
    </row>
    <row r="41" spans="1:3">
      <c r="A41" t="s">
        <v>116</v>
      </c>
      <c r="B41">
        <v>9200</v>
      </c>
      <c r="C41">
        <v>2.013426442795327</v>
      </c>
    </row>
    <row r="42" spans="1:3">
      <c r="A42" t="s">
        <v>48</v>
      </c>
      <c r="B42">
        <v>15030</v>
      </c>
      <c r="C42">
        <v>3.0000437818786803</v>
      </c>
    </row>
    <row r="43" spans="1:3">
      <c r="A43" t="s">
        <v>80</v>
      </c>
      <c r="B43">
        <v>12000</v>
      </c>
      <c r="C43">
        <v>2.0175127514721658</v>
      </c>
    </row>
    <row r="44" spans="1:3">
      <c r="A44" t="s">
        <v>34</v>
      </c>
      <c r="B44">
        <v>3005</v>
      </c>
      <c r="C44">
        <v>2.0043854848478215</v>
      </c>
    </row>
    <row r="45" spans="1:3">
      <c r="A45" t="s">
        <v>128</v>
      </c>
      <c r="B45">
        <v>5418</v>
      </c>
      <c r="C45">
        <v>3.0001459395956012</v>
      </c>
    </row>
    <row r="46" spans="1:3">
      <c r="A46" t="s">
        <v>88</v>
      </c>
      <c r="B46">
        <v>18000</v>
      </c>
      <c r="C46">
        <v>2.0262691272082485</v>
      </c>
    </row>
    <row r="47" spans="1:3">
      <c r="A47" t="s">
        <v>142</v>
      </c>
      <c r="B47">
        <v>5866</v>
      </c>
      <c r="C47">
        <v>2.0085608166779769</v>
      </c>
    </row>
    <row r="48" spans="1:3">
      <c r="A48" t="s">
        <v>172</v>
      </c>
      <c r="B48">
        <v>20000</v>
      </c>
      <c r="C48">
        <v>2.0291879191202762</v>
      </c>
    </row>
    <row r="49" spans="1:3">
      <c r="A49" t="s">
        <v>94</v>
      </c>
      <c r="B49">
        <v>5181</v>
      </c>
      <c r="C49">
        <v>2.0075611304481074</v>
      </c>
    </row>
    <row r="50" spans="1:3">
      <c r="A50" t="s">
        <v>106</v>
      </c>
      <c r="B50">
        <v>6853</v>
      </c>
      <c r="C50">
        <v>3.002539348963464</v>
      </c>
    </row>
    <row r="51" spans="1:3">
      <c r="A51" t="s">
        <v>66</v>
      </c>
      <c r="B51">
        <v>300</v>
      </c>
      <c r="C51">
        <v>2.0004378187868039</v>
      </c>
    </row>
    <row r="52" spans="1:3">
      <c r="A52" t="s">
        <v>138</v>
      </c>
      <c r="B52">
        <v>5000</v>
      </c>
      <c r="C52">
        <v>2.0072969797800688</v>
      </c>
    </row>
    <row r="53" spans="1:3">
      <c r="A53" t="s">
        <v>28</v>
      </c>
      <c r="B53">
        <v>4000</v>
      </c>
      <c r="C53">
        <v>2.0058375838240554</v>
      </c>
    </row>
    <row r="54" spans="1:3">
      <c r="A54" t="s">
        <v>90</v>
      </c>
      <c r="B54">
        <v>421</v>
      </c>
      <c r="C54">
        <v>2.0006144056974819</v>
      </c>
    </row>
    <row r="55" spans="1:3">
      <c r="A55" t="s">
        <v>140</v>
      </c>
      <c r="B55">
        <v>6562</v>
      </c>
      <c r="C55">
        <v>3.0001021577169209</v>
      </c>
    </row>
    <row r="56" spans="1:3">
      <c r="A56" t="s">
        <v>14</v>
      </c>
      <c r="B56">
        <v>5000</v>
      </c>
      <c r="C56">
        <v>2.0072969797800688</v>
      </c>
    </row>
    <row r="57" spans="1:3">
      <c r="A57" t="s">
        <v>162</v>
      </c>
      <c r="B57">
        <v>2253</v>
      </c>
      <c r="C57">
        <v>4.001198164079887</v>
      </c>
    </row>
    <row r="58" spans="1:3">
      <c r="A58" t="s">
        <v>158</v>
      </c>
      <c r="B58">
        <v>148</v>
      </c>
      <c r="C58">
        <v>2.00021599060149</v>
      </c>
    </row>
    <row r="59" spans="1:3">
      <c r="A59" t="s">
        <v>201</v>
      </c>
      <c r="B59">
        <v>423</v>
      </c>
      <c r="C59">
        <v>3.0006173244893937</v>
      </c>
    </row>
    <row r="60" spans="1:3">
      <c r="A60" t="s">
        <v>96</v>
      </c>
      <c r="B60">
        <v>1379</v>
      </c>
      <c r="C60">
        <v>2.002012507023343</v>
      </c>
    </row>
    <row r="61" spans="1:3">
      <c r="A61" t="s">
        <v>76</v>
      </c>
      <c r="B61">
        <v>1557</v>
      </c>
      <c r="C61">
        <v>2.0022722795035133</v>
      </c>
    </row>
    <row r="62" spans="1:3">
      <c r="A62" t="s">
        <v>180</v>
      </c>
      <c r="B62">
        <v>22300</v>
      </c>
      <c r="C62">
        <v>3.0004378187868039</v>
      </c>
    </row>
    <row r="63" spans="1:3">
      <c r="A63" t="s">
        <v>136</v>
      </c>
      <c r="B63">
        <v>456</v>
      </c>
      <c r="C63">
        <v>2.0006654845559422</v>
      </c>
    </row>
    <row r="64" spans="1:3">
      <c r="A64" t="s">
        <v>122</v>
      </c>
      <c r="B64">
        <v>4924</v>
      </c>
      <c r="C64">
        <v>2.0071860656874119</v>
      </c>
    </row>
    <row r="65" spans="1:3">
      <c r="A65" t="s">
        <v>60</v>
      </c>
      <c r="B65">
        <v>2136</v>
      </c>
      <c r="C65">
        <v>2.0031172697620456</v>
      </c>
    </row>
    <row r="66" spans="1:3">
      <c r="A66" t="s">
        <v>72</v>
      </c>
      <c r="B66">
        <v>300</v>
      </c>
      <c r="C66">
        <v>2.0004378187868039</v>
      </c>
    </row>
    <row r="67" spans="1:3">
      <c r="A67" t="s">
        <v>86</v>
      </c>
      <c r="B67">
        <v>3426</v>
      </c>
      <c r="C67">
        <v>3.0002918791912028</v>
      </c>
    </row>
    <row r="68" spans="1:3">
      <c r="A68" t="s">
        <v>182</v>
      </c>
      <c r="B68">
        <v>8000</v>
      </c>
      <c r="C68">
        <v>2.0116751676481104</v>
      </c>
    </row>
    <row r="69" spans="1:3">
      <c r="A69" t="s">
        <v>110</v>
      </c>
      <c r="B69">
        <v>609</v>
      </c>
      <c r="C69">
        <v>2.0008887721372126</v>
      </c>
    </row>
    <row r="70" spans="1:3">
      <c r="A70" t="s">
        <v>132</v>
      </c>
      <c r="B70">
        <v>7000</v>
      </c>
      <c r="C70">
        <v>2.0102157716920965</v>
      </c>
    </row>
    <row r="71" spans="1:3">
      <c r="A71" t="s">
        <v>120</v>
      </c>
      <c r="B71">
        <v>17024</v>
      </c>
      <c r="C71">
        <v>4.0102157716920965</v>
      </c>
    </row>
    <row r="72" spans="1:3">
      <c r="A72" t="s">
        <v>124</v>
      </c>
      <c r="B72">
        <v>2004</v>
      </c>
      <c r="C72">
        <v>2.0029246294958516</v>
      </c>
    </row>
    <row r="73" spans="1:3">
      <c r="A73" t="s">
        <v>174</v>
      </c>
      <c r="B73">
        <v>558</v>
      </c>
      <c r="C73">
        <v>2.0008143429434555</v>
      </c>
    </row>
    <row r="74" spans="1:3">
      <c r="A74" t="s">
        <v>199</v>
      </c>
      <c r="B74">
        <v>11</v>
      </c>
      <c r="C74">
        <v>3.000016053355516</v>
      </c>
    </row>
    <row r="75" spans="1:3">
      <c r="A75" t="s">
        <v>170</v>
      </c>
      <c r="B75">
        <v>2261</v>
      </c>
      <c r="C75">
        <v>3.0001459395956012</v>
      </c>
    </row>
    <row r="76" spans="1:3">
      <c r="A76" t="s">
        <v>191</v>
      </c>
      <c r="B76">
        <v>93</v>
      </c>
      <c r="C76">
        <v>3.0001357238239095</v>
      </c>
    </row>
    <row r="77" spans="1:3">
      <c r="A77" t="s">
        <v>126</v>
      </c>
      <c r="B77">
        <v>6098</v>
      </c>
      <c r="C77">
        <v>2.0088993965397721</v>
      </c>
    </row>
    <row r="78" spans="1:3">
      <c r="A78" t="s">
        <v>176</v>
      </c>
      <c r="B78">
        <v>0</v>
      </c>
      <c r="C78">
        <v>2</v>
      </c>
    </row>
    <row r="79" spans="1:3">
      <c r="A79" t="s">
        <v>168</v>
      </c>
      <c r="B79">
        <v>2619</v>
      </c>
      <c r="C79">
        <v>3.0000729697978006</v>
      </c>
    </row>
    <row r="80" spans="1:3">
      <c r="A80" t="s">
        <v>44</v>
      </c>
      <c r="B80">
        <v>8000</v>
      </c>
      <c r="C80">
        <v>2.0116751676481104</v>
      </c>
    </row>
    <row r="81" spans="1:3">
      <c r="A81" t="s">
        <v>92</v>
      </c>
      <c r="B81">
        <v>4</v>
      </c>
      <c r="C81">
        <v>2.0000058375838239</v>
      </c>
    </row>
    <row r="82" spans="1:3">
      <c r="A82" t="s">
        <v>50</v>
      </c>
      <c r="B82">
        <v>15005</v>
      </c>
      <c r="C82">
        <v>3.00000729697978</v>
      </c>
    </row>
    <row r="83" spans="1:3">
      <c r="A83" t="s">
        <v>64</v>
      </c>
      <c r="B83">
        <v>300</v>
      </c>
      <c r="C83">
        <v>2.0004378187868039</v>
      </c>
    </row>
    <row r="84" spans="1:3">
      <c r="A84" t="s">
        <v>112</v>
      </c>
      <c r="B84">
        <v>18000</v>
      </c>
      <c r="C84">
        <v>2.0262691272082485</v>
      </c>
    </row>
    <row r="85" spans="1:3">
      <c r="A85" t="s">
        <v>54</v>
      </c>
      <c r="B85">
        <v>300</v>
      </c>
      <c r="C85">
        <v>2.0004378187868039</v>
      </c>
    </row>
    <row r="86" spans="1:3">
      <c r="A86" t="s">
        <v>12</v>
      </c>
      <c r="B86">
        <v>20000</v>
      </c>
      <c r="C86">
        <v>2.0291879191202762</v>
      </c>
    </row>
    <row r="87" spans="1:3">
      <c r="A87" t="s">
        <v>24</v>
      </c>
      <c r="B87">
        <v>4000</v>
      </c>
      <c r="C87">
        <v>2.0058375838240554</v>
      </c>
    </row>
    <row r="88" spans="1:3">
      <c r="A88" t="s">
        <v>203</v>
      </c>
      <c r="B88">
        <v>172</v>
      </c>
      <c r="C88">
        <v>3.000232043957006</v>
      </c>
    </row>
    <row r="89" spans="1:3">
      <c r="A89" t="s">
        <v>74</v>
      </c>
      <c r="B89">
        <v>2059</v>
      </c>
      <c r="C89">
        <v>3.0000437818786803</v>
      </c>
    </row>
    <row r="90" spans="1:3">
      <c r="A90" t="s">
        <v>82</v>
      </c>
      <c r="B90">
        <v>8030</v>
      </c>
      <c r="C90">
        <v>3.0000437818786803</v>
      </c>
    </row>
    <row r="91" spans="1:3">
      <c r="A91" t="s">
        <v>78</v>
      </c>
      <c r="B91">
        <v>579</v>
      </c>
      <c r="C91">
        <v>2.0008449902585319</v>
      </c>
    </row>
    <row r="92" spans="1:3">
      <c r="A92" t="s">
        <v>16</v>
      </c>
      <c r="B92">
        <v>2847</v>
      </c>
      <c r="C92">
        <v>2.0041549002867711</v>
      </c>
    </row>
    <row r="93" spans="1:3">
      <c r="A93" t="s">
        <v>118</v>
      </c>
      <c r="B93">
        <v>3256</v>
      </c>
      <c r="C93">
        <v>2.004751793232781</v>
      </c>
    </row>
    <row r="94" spans="1:3">
      <c r="A94" t="s">
        <v>197</v>
      </c>
      <c r="B94">
        <v>1160</v>
      </c>
      <c r="C94">
        <v>3.001692899308976</v>
      </c>
    </row>
    <row r="95" spans="1:3">
      <c r="A95" t="s">
        <v>100</v>
      </c>
      <c r="B95">
        <v>3077</v>
      </c>
      <c r="C95">
        <v>3.0009923892500896</v>
      </c>
    </row>
    <row r="96" spans="1:3">
      <c r="A96" t="s">
        <v>32</v>
      </c>
      <c r="B96">
        <v>9000</v>
      </c>
      <c r="C96">
        <v>2.0131345636041242</v>
      </c>
    </row>
    <row r="97" spans="1:3">
      <c r="A97" t="s">
        <v>166</v>
      </c>
      <c r="B97">
        <v>548</v>
      </c>
      <c r="C97">
        <v>2.0007997489838956</v>
      </c>
    </row>
    <row r="98" spans="1:3">
      <c r="A98" t="s">
        <v>152</v>
      </c>
      <c r="B98">
        <v>23400</v>
      </c>
      <c r="C98">
        <v>4.0341498653707228</v>
      </c>
    </row>
    <row r="99" spans="1:3">
      <c r="A99" t="s">
        <v>130</v>
      </c>
      <c r="B99">
        <v>27500</v>
      </c>
      <c r="C99">
        <v>4.0401333887903794</v>
      </c>
    </row>
    <row r="100" spans="1:3">
      <c r="A100" t="s">
        <v>154</v>
      </c>
      <c r="B100">
        <v>30700</v>
      </c>
      <c r="C100">
        <v>4.0448034558496238</v>
      </c>
    </row>
    <row r="101" spans="1:3">
      <c r="A101" t="s">
        <v>186</v>
      </c>
      <c r="B101">
        <v>500</v>
      </c>
      <c r="C101">
        <v>2.0007296979780067</v>
      </c>
    </row>
    <row r="102" spans="1:3">
      <c r="A102" t="s">
        <v>150</v>
      </c>
      <c r="B102">
        <v>11264</v>
      </c>
      <c r="C102">
        <v>4.0072969797800688</v>
      </c>
    </row>
    <row r="103" spans="1:3">
      <c r="A103" t="s">
        <v>212</v>
      </c>
    </row>
    <row r="104" spans="1:3">
      <c r="A104" t="s">
        <v>213</v>
      </c>
      <c r="B104">
        <v>685215</v>
      </c>
      <c r="C104">
        <v>4.0802667775807597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877A5-4C41-4BB9-930C-8155073DA9C9}">
  <dimension ref="A1:C104"/>
  <sheetViews>
    <sheetView workbookViewId="0">
      <selection activeCell="C96" sqref="C96"/>
    </sheetView>
  </sheetViews>
  <sheetFormatPr defaultRowHeight="15"/>
  <cols>
    <col min="1" max="1" width="22" bestFit="1" customWidth="1"/>
    <col min="2" max="2" width="20.7109375" bestFit="1" customWidth="1"/>
    <col min="3" max="3" width="24" bestFit="1" customWidth="1"/>
  </cols>
  <sheetData>
    <row r="1" spans="1:3">
      <c r="A1" t="s">
        <v>0</v>
      </c>
      <c r="B1" t="s">
        <v>214</v>
      </c>
      <c r="C1" t="s">
        <v>215</v>
      </c>
    </row>
    <row r="2" spans="1:3">
      <c r="A2" t="s">
        <v>30</v>
      </c>
      <c r="B2">
        <v>1703</v>
      </c>
      <c r="C2">
        <v>2.0024853513130916</v>
      </c>
    </row>
    <row r="3" spans="1:3">
      <c r="A3" t="s">
        <v>18</v>
      </c>
      <c r="B3">
        <v>5668</v>
      </c>
      <c r="C3">
        <v>2.0082718562786863</v>
      </c>
    </row>
    <row r="4" spans="1:3">
      <c r="A4" t="s">
        <v>58</v>
      </c>
      <c r="B4">
        <v>1941</v>
      </c>
      <c r="C4">
        <v>4.0005837583824055</v>
      </c>
    </row>
    <row r="5" spans="1:3">
      <c r="A5" t="s">
        <v>10</v>
      </c>
      <c r="B5">
        <v>1802</v>
      </c>
      <c r="C5">
        <v>2.0026298315127367</v>
      </c>
    </row>
    <row r="6" spans="1:3">
      <c r="A6" t="s">
        <v>68</v>
      </c>
      <c r="B6">
        <v>6500</v>
      </c>
      <c r="C6">
        <v>4.0094860737140898</v>
      </c>
    </row>
    <row r="7" spans="1:3">
      <c r="A7" t="s">
        <v>84</v>
      </c>
      <c r="B7">
        <v>58111</v>
      </c>
      <c r="C7">
        <v>4.0255394292302418</v>
      </c>
    </row>
    <row r="8" spans="1:3">
      <c r="A8" t="s">
        <v>189</v>
      </c>
      <c r="B8">
        <v>163</v>
      </c>
      <c r="C8">
        <v>3.0002378815408304</v>
      </c>
    </row>
    <row r="9" spans="1:3">
      <c r="A9" t="s">
        <v>208</v>
      </c>
      <c r="B9">
        <v>300</v>
      </c>
      <c r="C9">
        <v>3.0004378187868039</v>
      </c>
    </row>
    <row r="10" spans="1:3">
      <c r="A10" t="s">
        <v>102</v>
      </c>
      <c r="B10">
        <v>2900</v>
      </c>
      <c r="C10">
        <v>2.00423224827244</v>
      </c>
    </row>
    <row r="11" spans="1:3">
      <c r="A11" t="s">
        <v>205</v>
      </c>
      <c r="B11">
        <v>20</v>
      </c>
      <c r="C11">
        <v>3.0000291879191203</v>
      </c>
    </row>
    <row r="12" spans="1:3">
      <c r="A12" t="s">
        <v>193</v>
      </c>
      <c r="B12">
        <v>615</v>
      </c>
      <c r="C12">
        <v>3.0008975285129487</v>
      </c>
    </row>
    <row r="13" spans="1:3">
      <c r="A13" t="s">
        <v>6</v>
      </c>
      <c r="B13">
        <v>17346</v>
      </c>
      <c r="C13">
        <v>4.0080266777580755</v>
      </c>
    </row>
    <row r="14" spans="1:3">
      <c r="A14" t="s">
        <v>42</v>
      </c>
      <c r="B14">
        <v>1300</v>
      </c>
      <c r="C14">
        <v>4.0010215771692099</v>
      </c>
    </row>
    <row r="15" spans="1:3">
      <c r="A15" t="s">
        <v>195</v>
      </c>
      <c r="B15">
        <v>93</v>
      </c>
      <c r="C15">
        <v>3.0001357238239095</v>
      </c>
    </row>
    <row r="16" spans="1:3">
      <c r="A16" t="s">
        <v>26</v>
      </c>
      <c r="B16">
        <v>1079</v>
      </c>
      <c r="C16">
        <v>2.0015746882365391</v>
      </c>
    </row>
    <row r="17" spans="1:3">
      <c r="A17" t="s">
        <v>144</v>
      </c>
      <c r="B17">
        <v>15631</v>
      </c>
      <c r="C17">
        <v>4.0094860737140898</v>
      </c>
    </row>
    <row r="18" spans="1:3">
      <c r="A18" t="s">
        <v>40</v>
      </c>
      <c r="B18">
        <v>148</v>
      </c>
      <c r="C18">
        <v>2.00021599060149</v>
      </c>
    </row>
    <row r="19" spans="1:3">
      <c r="A19" t="s">
        <v>164</v>
      </c>
      <c r="B19">
        <v>20000</v>
      </c>
      <c r="C19">
        <v>2.0291879191202762</v>
      </c>
    </row>
    <row r="20" spans="1:3">
      <c r="A20" t="s">
        <v>22</v>
      </c>
      <c r="B20">
        <v>8000</v>
      </c>
      <c r="C20">
        <v>2.0116751676481104</v>
      </c>
    </row>
    <row r="21" spans="1:3">
      <c r="A21" t="s">
        <v>56</v>
      </c>
      <c r="B21">
        <v>8533</v>
      </c>
      <c r="C21">
        <v>4.0124048656261175</v>
      </c>
    </row>
    <row r="22" spans="1:3">
      <c r="A22" t="s">
        <v>146</v>
      </c>
      <c r="B22">
        <v>6000</v>
      </c>
      <c r="C22">
        <v>2.0087563757360827</v>
      </c>
    </row>
    <row r="23" spans="1:3">
      <c r="A23" t="s">
        <v>20</v>
      </c>
      <c r="B23">
        <v>5000</v>
      </c>
      <c r="C23">
        <v>2.0072969797800688</v>
      </c>
    </row>
    <row r="24" spans="1:3">
      <c r="A24" t="s">
        <v>104</v>
      </c>
      <c r="B24">
        <v>5000</v>
      </c>
      <c r="C24">
        <v>2.0072969797800688</v>
      </c>
    </row>
    <row r="25" spans="1:3">
      <c r="A25" t="s">
        <v>108</v>
      </c>
      <c r="B25">
        <v>5000</v>
      </c>
      <c r="C25">
        <v>2.0072969797800688</v>
      </c>
    </row>
    <row r="26" spans="1:3">
      <c r="A26" t="s">
        <v>46</v>
      </c>
      <c r="B26">
        <v>8000</v>
      </c>
      <c r="C26">
        <v>2.0116751676481104</v>
      </c>
    </row>
    <row r="27" spans="1:3">
      <c r="A27" t="s">
        <v>134</v>
      </c>
      <c r="B27">
        <v>900</v>
      </c>
      <c r="C27">
        <v>2.0013134563604122</v>
      </c>
    </row>
    <row r="28" spans="1:3">
      <c r="A28" t="s">
        <v>52</v>
      </c>
      <c r="B28">
        <v>2190</v>
      </c>
      <c r="C28">
        <v>4</v>
      </c>
    </row>
    <row r="29" spans="1:3">
      <c r="A29" t="s">
        <v>178</v>
      </c>
      <c r="B29">
        <v>6300</v>
      </c>
      <c r="C29">
        <v>4.0091941945228866</v>
      </c>
    </row>
    <row r="30" spans="1:3">
      <c r="A30" t="s">
        <v>160</v>
      </c>
      <c r="B30">
        <v>2914</v>
      </c>
      <c r="C30">
        <v>2.0042526798158242</v>
      </c>
    </row>
    <row r="31" spans="1:3">
      <c r="A31" t="s">
        <v>184</v>
      </c>
      <c r="B31">
        <v>25000</v>
      </c>
      <c r="C31">
        <v>2.036484898900345</v>
      </c>
    </row>
    <row r="32" spans="1:3">
      <c r="A32" t="s">
        <v>98</v>
      </c>
      <c r="B32">
        <v>3887</v>
      </c>
      <c r="C32">
        <v>2.0056726720810256</v>
      </c>
    </row>
    <row r="33" spans="1:3">
      <c r="A33" t="s">
        <v>36</v>
      </c>
      <c r="B33">
        <v>55000</v>
      </c>
      <c r="C33">
        <v>4.0802667775807597</v>
      </c>
    </row>
    <row r="34" spans="1:3">
      <c r="A34" t="s">
        <v>114</v>
      </c>
      <c r="B34">
        <v>6055</v>
      </c>
      <c r="C34">
        <v>2.0088366425136637</v>
      </c>
    </row>
    <row r="35" spans="1:3">
      <c r="A35" t="s">
        <v>156</v>
      </c>
      <c r="B35">
        <v>5000</v>
      </c>
      <c r="C35">
        <v>2.0072969797800688</v>
      </c>
    </row>
    <row r="36" spans="1:3">
      <c r="A36" t="s">
        <v>116</v>
      </c>
      <c r="B36">
        <v>9200</v>
      </c>
      <c r="C36">
        <v>2.013426442795327</v>
      </c>
    </row>
    <row r="37" spans="1:3">
      <c r="A37" t="s">
        <v>48</v>
      </c>
      <c r="B37">
        <v>15030</v>
      </c>
      <c r="C37">
        <v>3.0000437818786803</v>
      </c>
    </row>
    <row r="38" spans="1:3">
      <c r="A38" t="s">
        <v>80</v>
      </c>
      <c r="B38">
        <v>12000</v>
      </c>
      <c r="C38">
        <v>2.0175127514721658</v>
      </c>
    </row>
    <row r="39" spans="1:3">
      <c r="A39" t="s">
        <v>34</v>
      </c>
      <c r="B39">
        <v>3005</v>
      </c>
      <c r="C39">
        <v>2.0043854848478215</v>
      </c>
    </row>
    <row r="40" spans="1:3">
      <c r="A40" t="s">
        <v>128</v>
      </c>
      <c r="B40">
        <v>5418</v>
      </c>
      <c r="C40">
        <v>3.0001459395956012</v>
      </c>
    </row>
    <row r="41" spans="1:3">
      <c r="A41" t="s">
        <v>88</v>
      </c>
      <c r="B41">
        <v>18000</v>
      </c>
      <c r="C41">
        <v>2.0262691272082485</v>
      </c>
    </row>
    <row r="42" spans="1:3">
      <c r="A42" t="s">
        <v>142</v>
      </c>
      <c r="B42">
        <v>5866</v>
      </c>
      <c r="C42">
        <v>2.0085608166779769</v>
      </c>
    </row>
    <row r="43" spans="1:3">
      <c r="A43" t="s">
        <v>172</v>
      </c>
      <c r="B43">
        <v>20000</v>
      </c>
      <c r="C43">
        <v>2.0291879191202762</v>
      </c>
    </row>
    <row r="44" spans="1:3">
      <c r="A44" t="s">
        <v>94</v>
      </c>
      <c r="B44">
        <v>5181</v>
      </c>
      <c r="C44">
        <v>2.0075611304481074</v>
      </c>
    </row>
    <row r="45" spans="1:3">
      <c r="A45" t="s">
        <v>106</v>
      </c>
      <c r="B45">
        <v>6853</v>
      </c>
      <c r="C45">
        <v>3.002539348963464</v>
      </c>
    </row>
    <row r="46" spans="1:3">
      <c r="A46" t="s">
        <v>66</v>
      </c>
      <c r="B46">
        <v>300</v>
      </c>
      <c r="C46">
        <v>2.0004378187868039</v>
      </c>
    </row>
    <row r="47" spans="1:3">
      <c r="A47" t="s">
        <v>138</v>
      </c>
      <c r="B47">
        <v>5000</v>
      </c>
      <c r="C47">
        <v>2.0072969797800688</v>
      </c>
    </row>
    <row r="48" spans="1:3">
      <c r="A48" t="s">
        <v>28</v>
      </c>
      <c r="B48">
        <v>4000</v>
      </c>
      <c r="C48">
        <v>2.0058375838240554</v>
      </c>
    </row>
    <row r="49" spans="1:3">
      <c r="A49" t="s">
        <v>90</v>
      </c>
      <c r="B49">
        <v>421</v>
      </c>
      <c r="C49">
        <v>2.0006144056974819</v>
      </c>
    </row>
    <row r="50" spans="1:3">
      <c r="A50" t="s">
        <v>140</v>
      </c>
      <c r="B50">
        <v>6562</v>
      </c>
      <c r="C50">
        <v>3.0001021577169209</v>
      </c>
    </row>
    <row r="51" spans="1:3">
      <c r="A51" t="s">
        <v>14</v>
      </c>
      <c r="B51">
        <v>5000</v>
      </c>
      <c r="C51">
        <v>2.0072969797800688</v>
      </c>
    </row>
    <row r="52" spans="1:3">
      <c r="A52" t="s">
        <v>162</v>
      </c>
      <c r="B52">
        <v>2253</v>
      </c>
      <c r="C52">
        <v>4.001198164079887</v>
      </c>
    </row>
    <row r="53" spans="1:3">
      <c r="A53" t="s">
        <v>158</v>
      </c>
      <c r="B53">
        <v>148</v>
      </c>
      <c r="C53">
        <v>2.00021599060149</v>
      </c>
    </row>
    <row r="54" spans="1:3">
      <c r="A54" t="s">
        <v>201</v>
      </c>
      <c r="B54">
        <v>423</v>
      </c>
      <c r="C54">
        <v>3.0006173244893937</v>
      </c>
    </row>
    <row r="55" spans="1:3">
      <c r="A55" t="s">
        <v>96</v>
      </c>
      <c r="B55">
        <v>1379</v>
      </c>
      <c r="C55">
        <v>2.002012507023343</v>
      </c>
    </row>
    <row r="56" spans="1:3">
      <c r="A56" t="s">
        <v>76</v>
      </c>
      <c r="B56">
        <v>1557</v>
      </c>
      <c r="C56">
        <v>2.0022722795035133</v>
      </c>
    </row>
    <row r="57" spans="1:3">
      <c r="A57" t="s">
        <v>180</v>
      </c>
      <c r="B57">
        <v>22300</v>
      </c>
      <c r="C57">
        <v>3.0004378187868039</v>
      </c>
    </row>
    <row r="58" spans="1:3">
      <c r="A58" t="s">
        <v>136</v>
      </c>
      <c r="B58">
        <v>456</v>
      </c>
      <c r="C58">
        <v>2.0006654845559422</v>
      </c>
    </row>
    <row r="59" spans="1:3">
      <c r="A59" t="s">
        <v>122</v>
      </c>
      <c r="B59">
        <v>4924</v>
      </c>
      <c r="C59">
        <v>2.0071860656874119</v>
      </c>
    </row>
    <row r="60" spans="1:3">
      <c r="A60" t="s">
        <v>60</v>
      </c>
      <c r="B60">
        <v>2136</v>
      </c>
      <c r="C60">
        <v>2.0031172697620456</v>
      </c>
    </row>
    <row r="61" spans="1:3">
      <c r="A61" t="s">
        <v>72</v>
      </c>
      <c r="B61">
        <v>300</v>
      </c>
      <c r="C61">
        <v>2.0004378187868039</v>
      </c>
    </row>
    <row r="62" spans="1:3">
      <c r="A62" t="s">
        <v>86</v>
      </c>
      <c r="B62">
        <v>3426</v>
      </c>
      <c r="C62">
        <v>3.0002918791912028</v>
      </c>
    </row>
    <row r="63" spans="1:3">
      <c r="A63" t="s">
        <v>182</v>
      </c>
      <c r="B63">
        <v>8000</v>
      </c>
      <c r="C63">
        <v>2.0116751676481104</v>
      </c>
    </row>
    <row r="64" spans="1:3">
      <c r="A64" t="s">
        <v>110</v>
      </c>
      <c r="B64">
        <v>609</v>
      </c>
      <c r="C64">
        <v>2.0008887721372126</v>
      </c>
    </row>
    <row r="65" spans="1:3">
      <c r="A65" t="s">
        <v>132</v>
      </c>
      <c r="B65">
        <v>7000</v>
      </c>
      <c r="C65">
        <v>2.0102157716920965</v>
      </c>
    </row>
    <row r="66" spans="1:3">
      <c r="A66" t="s">
        <v>120</v>
      </c>
      <c r="B66">
        <v>17024</v>
      </c>
      <c r="C66">
        <v>4.0102157716920965</v>
      </c>
    </row>
    <row r="67" spans="1:3">
      <c r="A67" t="s">
        <v>124</v>
      </c>
      <c r="B67">
        <v>2004</v>
      </c>
      <c r="C67">
        <v>2.0029246294958516</v>
      </c>
    </row>
    <row r="68" spans="1:3">
      <c r="A68" t="s">
        <v>174</v>
      </c>
      <c r="B68">
        <v>558</v>
      </c>
      <c r="C68">
        <v>2.0008143429434555</v>
      </c>
    </row>
    <row r="69" spans="1:3">
      <c r="A69" t="s">
        <v>199</v>
      </c>
      <c r="B69">
        <v>11</v>
      </c>
      <c r="C69">
        <v>3.000016053355516</v>
      </c>
    </row>
    <row r="70" spans="1:3">
      <c r="A70" t="s">
        <v>170</v>
      </c>
      <c r="B70">
        <v>2261</v>
      </c>
      <c r="C70">
        <v>3.0001459395956012</v>
      </c>
    </row>
    <row r="71" spans="1:3">
      <c r="A71" t="s">
        <v>191</v>
      </c>
      <c r="B71">
        <v>93</v>
      </c>
      <c r="C71">
        <v>3.0001357238239095</v>
      </c>
    </row>
    <row r="72" spans="1:3">
      <c r="A72" t="s">
        <v>126</v>
      </c>
      <c r="B72">
        <v>6098</v>
      </c>
      <c r="C72">
        <v>2.0088993965397721</v>
      </c>
    </row>
    <row r="73" spans="1:3">
      <c r="A73" t="s">
        <v>168</v>
      </c>
      <c r="B73">
        <v>2619</v>
      </c>
      <c r="C73">
        <v>3.0000729697978006</v>
      </c>
    </row>
    <row r="74" spans="1:3">
      <c r="A74" t="s">
        <v>44</v>
      </c>
      <c r="B74">
        <v>8000</v>
      </c>
      <c r="C74">
        <v>2.0116751676481104</v>
      </c>
    </row>
    <row r="75" spans="1:3">
      <c r="A75" t="s">
        <v>92</v>
      </c>
      <c r="B75">
        <v>4</v>
      </c>
      <c r="C75">
        <v>2.0000058375838239</v>
      </c>
    </row>
    <row r="76" spans="1:3">
      <c r="A76" t="s">
        <v>50</v>
      </c>
      <c r="B76">
        <v>15005</v>
      </c>
      <c r="C76">
        <v>3.00000729697978</v>
      </c>
    </row>
    <row r="77" spans="1:3">
      <c r="A77" t="s">
        <v>64</v>
      </c>
      <c r="B77">
        <v>300</v>
      </c>
      <c r="C77">
        <v>2.0004378187868039</v>
      </c>
    </row>
    <row r="78" spans="1:3">
      <c r="A78" t="s">
        <v>112</v>
      </c>
      <c r="B78">
        <v>18000</v>
      </c>
      <c r="C78">
        <v>2.0262691272082485</v>
      </c>
    </row>
    <row r="79" spans="1:3">
      <c r="A79" t="s">
        <v>54</v>
      </c>
      <c r="B79">
        <v>300</v>
      </c>
      <c r="C79">
        <v>2.0004378187868039</v>
      </c>
    </row>
    <row r="80" spans="1:3">
      <c r="A80" t="s">
        <v>12</v>
      </c>
      <c r="B80">
        <v>20000</v>
      </c>
      <c r="C80">
        <v>2.0291879191202762</v>
      </c>
    </row>
    <row r="81" spans="1:3">
      <c r="A81" t="s">
        <v>24</v>
      </c>
      <c r="B81">
        <v>4000</v>
      </c>
      <c r="C81">
        <v>2.0058375838240554</v>
      </c>
    </row>
    <row r="82" spans="1:3">
      <c r="A82" t="s">
        <v>203</v>
      </c>
      <c r="B82">
        <v>172</v>
      </c>
      <c r="C82">
        <v>3.000232043957006</v>
      </c>
    </row>
    <row r="83" spans="1:3">
      <c r="A83" t="s">
        <v>74</v>
      </c>
      <c r="B83">
        <v>2059</v>
      </c>
      <c r="C83">
        <v>3.0000437818786803</v>
      </c>
    </row>
    <row r="84" spans="1:3">
      <c r="A84" t="s">
        <v>82</v>
      </c>
      <c r="B84">
        <v>8030</v>
      </c>
      <c r="C84">
        <v>3.0000437818786803</v>
      </c>
    </row>
    <row r="85" spans="1:3">
      <c r="A85" t="s">
        <v>78</v>
      </c>
      <c r="B85">
        <v>579</v>
      </c>
      <c r="C85">
        <v>2.0008449902585319</v>
      </c>
    </row>
    <row r="86" spans="1:3">
      <c r="A86" t="s">
        <v>16</v>
      </c>
      <c r="B86">
        <v>2847</v>
      </c>
      <c r="C86">
        <v>2.0041549002867711</v>
      </c>
    </row>
    <row r="87" spans="1:3">
      <c r="A87" t="s">
        <v>118</v>
      </c>
      <c r="B87">
        <v>3256</v>
      </c>
      <c r="C87">
        <v>2.004751793232781</v>
      </c>
    </row>
    <row r="88" spans="1:3">
      <c r="A88" t="s">
        <v>197</v>
      </c>
      <c r="B88">
        <v>1160</v>
      </c>
      <c r="C88">
        <v>3.001692899308976</v>
      </c>
    </row>
    <row r="89" spans="1:3">
      <c r="A89" t="s">
        <v>100</v>
      </c>
      <c r="B89">
        <v>3077</v>
      </c>
      <c r="C89">
        <v>3.0009923892500896</v>
      </c>
    </row>
    <row r="90" spans="1:3">
      <c r="A90" t="s">
        <v>32</v>
      </c>
      <c r="B90">
        <v>9000</v>
      </c>
      <c r="C90">
        <v>2.0131345636041242</v>
      </c>
    </row>
    <row r="91" spans="1:3">
      <c r="A91" t="s">
        <v>166</v>
      </c>
      <c r="B91">
        <v>548</v>
      </c>
      <c r="C91">
        <v>2.0007997489838956</v>
      </c>
    </row>
    <row r="92" spans="1:3">
      <c r="A92" t="s">
        <v>152</v>
      </c>
      <c r="B92">
        <v>23400</v>
      </c>
      <c r="C92">
        <v>4.0341498653707228</v>
      </c>
    </row>
    <row r="93" spans="1:3">
      <c r="A93" t="s">
        <v>130</v>
      </c>
      <c r="B93">
        <v>27500</v>
      </c>
      <c r="C93">
        <v>4.0401333887903794</v>
      </c>
    </row>
    <row r="94" spans="1:3">
      <c r="A94" t="s">
        <v>154</v>
      </c>
      <c r="B94">
        <v>30700</v>
      </c>
      <c r="C94">
        <v>4.0448034558496238</v>
      </c>
    </row>
    <row r="95" spans="1:3">
      <c r="A95" t="s">
        <v>186</v>
      </c>
      <c r="B95">
        <v>500</v>
      </c>
      <c r="C95">
        <v>2.0007296979780067</v>
      </c>
    </row>
    <row r="96" spans="1:3">
      <c r="A96" t="s">
        <v>150</v>
      </c>
      <c r="B96">
        <v>11264</v>
      </c>
      <c r="C96">
        <v>4.0072969797800688</v>
      </c>
    </row>
    <row r="102" spans="2:2">
      <c r="B102" s="13"/>
    </row>
    <row r="103" spans="2:2">
      <c r="B103" s="13"/>
    </row>
    <row r="104" spans="2:2">
      <c r="B104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BBC5E-3646-44EB-9867-EF4F90CFE8D3}">
  <dimension ref="A1:L99"/>
  <sheetViews>
    <sheetView topLeftCell="A82" workbookViewId="0">
      <selection activeCell="A97" sqref="A97:XFD99"/>
    </sheetView>
  </sheetViews>
  <sheetFormatPr defaultRowHeight="15"/>
  <cols>
    <col min="1" max="1" width="22" style="8" bestFit="1" customWidth="1"/>
    <col min="2" max="2" width="20.7109375" style="11" bestFit="1" customWidth="1"/>
    <col min="3" max="3" width="24" style="8" bestFit="1" customWidth="1"/>
    <col min="4" max="4" width="14.7109375" style="14" customWidth="1"/>
    <col min="5" max="8" width="9.140625" style="8"/>
    <col min="9" max="9" width="25" style="8" bestFit="1" customWidth="1"/>
    <col min="10" max="16384" width="9.140625" style="8"/>
  </cols>
  <sheetData>
    <row r="1" spans="1:3" s="12" customFormat="1">
      <c r="A1" s="12" t="s">
        <v>0</v>
      </c>
      <c r="B1" s="12" t="s">
        <v>214</v>
      </c>
      <c r="C1" s="12" t="s">
        <v>215</v>
      </c>
    </row>
    <row r="2" spans="1:3">
      <c r="A2" s="8" t="s">
        <v>30</v>
      </c>
      <c r="B2" s="11">
        <v>1699.1765731663352</v>
      </c>
      <c r="C2" s="8">
        <v>2.0023770325757644</v>
      </c>
    </row>
    <row r="3" spans="1:3">
      <c r="A3" s="8" t="s">
        <v>18</v>
      </c>
      <c r="B3" s="11">
        <v>5769.3073262021699</v>
      </c>
      <c r="C3" s="8">
        <v>2.0080708689553224</v>
      </c>
    </row>
    <row r="4" spans="1:3">
      <c r="A4" s="8" t="s">
        <v>58</v>
      </c>
      <c r="B4" s="11">
        <v>1998.6218372632577</v>
      </c>
      <c r="C4" s="8">
        <v>4.0027959361545085</v>
      </c>
    </row>
    <row r="5" spans="1:3">
      <c r="A5" s="8" t="s">
        <v>10</v>
      </c>
      <c r="B5" s="11">
        <v>1792.220682086685</v>
      </c>
      <c r="C5" s="8">
        <v>2.0025071949622872</v>
      </c>
    </row>
    <row r="6" spans="1:3">
      <c r="A6" s="8" t="s">
        <v>68</v>
      </c>
      <c r="B6" s="11">
        <v>6553.5424378703719</v>
      </c>
      <c r="C6" s="8">
        <v>4.0091679605919026</v>
      </c>
    </row>
    <row r="7" spans="1:3">
      <c r="A7" s="8" t="s">
        <v>84</v>
      </c>
      <c r="B7" s="11">
        <v>56379.895144212533</v>
      </c>
      <c r="C7" s="8">
        <v>4.0788716425899443</v>
      </c>
    </row>
    <row r="8" spans="1:3">
      <c r="A8" s="8" t="s">
        <v>189</v>
      </c>
      <c r="B8" s="11">
        <v>163.42145346699388</v>
      </c>
      <c r="C8" s="8">
        <v>3.0002286155097737</v>
      </c>
    </row>
    <row r="9" spans="1:3">
      <c r="A9" s="8" t="s">
        <v>208</v>
      </c>
      <c r="B9" s="11">
        <v>306.77385103740687</v>
      </c>
      <c r="C9" s="8">
        <v>3.0004291557739347</v>
      </c>
    </row>
    <row r="10" spans="1:3">
      <c r="A10" s="8" t="s">
        <v>102</v>
      </c>
      <c r="B10" s="11">
        <v>2865.8857370049695</v>
      </c>
      <c r="C10" s="8">
        <v>2.0040091794242345</v>
      </c>
    </row>
    <row r="11" spans="1:3">
      <c r="A11" s="8" t="s">
        <v>205</v>
      </c>
      <c r="B11" s="11">
        <v>19.667287743459877</v>
      </c>
      <c r="C11" s="8">
        <v>3.0000275131992646</v>
      </c>
    </row>
    <row r="12" spans="1:3">
      <c r="A12" s="8" t="s">
        <v>193</v>
      </c>
      <c r="B12" s="11">
        <v>602.04036384330038</v>
      </c>
      <c r="C12" s="8">
        <v>3.0008422135635464</v>
      </c>
    </row>
    <row r="13" spans="1:3">
      <c r="A13" s="8" t="s">
        <v>6</v>
      </c>
      <c r="B13" s="11">
        <v>16929.419547448575</v>
      </c>
      <c r="C13" s="8">
        <v>4.0236831076820234</v>
      </c>
    </row>
    <row r="14" spans="1:3">
      <c r="A14" s="8" t="s">
        <v>42</v>
      </c>
      <c r="B14" s="11">
        <v>1297.7867701316525</v>
      </c>
      <c r="C14" s="8">
        <v>4.0018155155136412</v>
      </c>
    </row>
    <row r="15" spans="1:3">
      <c r="A15" s="8" t="s">
        <v>195</v>
      </c>
      <c r="B15" s="11">
        <v>91.520029950925078</v>
      </c>
      <c r="C15" s="8">
        <v>3.0001280303035975</v>
      </c>
    </row>
    <row r="16" spans="1:3">
      <c r="A16" s="8" t="s">
        <v>26</v>
      </c>
      <c r="B16" s="11">
        <v>1073.5186328792431</v>
      </c>
      <c r="C16" s="8">
        <v>2.0015017796274632</v>
      </c>
    </row>
    <row r="17" spans="1:3">
      <c r="A17" s="8" t="s">
        <v>144</v>
      </c>
      <c r="B17" s="11">
        <v>15279.539364553906</v>
      </c>
      <c r="C17" s="8">
        <v>4.0213750374068189</v>
      </c>
    </row>
    <row r="18" spans="1:3">
      <c r="A18" s="8" t="s">
        <v>40</v>
      </c>
      <c r="B18" s="11">
        <v>150.75680696208531</v>
      </c>
      <c r="C18" s="8">
        <v>2.0002108985298093</v>
      </c>
    </row>
    <row r="19" spans="1:3">
      <c r="A19" s="8" t="s">
        <v>164</v>
      </c>
      <c r="B19" s="11">
        <v>20274.134332806174</v>
      </c>
      <c r="C19" s="8">
        <v>2.0283621364109923</v>
      </c>
    </row>
    <row r="20" spans="1:3">
      <c r="A20" s="8" t="s">
        <v>22</v>
      </c>
      <c r="B20" s="11">
        <v>8113.5792683533537</v>
      </c>
      <c r="C20" s="8">
        <v>2.0113503461214655</v>
      </c>
    </row>
    <row r="21" spans="1:3">
      <c r="A21" s="8" t="s">
        <v>56</v>
      </c>
      <c r="B21" s="11">
        <v>8450.2664163336049</v>
      </c>
      <c r="C21" s="8">
        <v>4.0118213485653724</v>
      </c>
    </row>
    <row r="22" spans="1:3">
      <c r="A22" s="8" t="s">
        <v>146</v>
      </c>
      <c r="B22" s="11">
        <v>6084.6504032382845</v>
      </c>
      <c r="C22" s="8">
        <v>2.0085120124941955</v>
      </c>
    </row>
    <row r="23" spans="1:3">
      <c r="A23" s="8" t="s">
        <v>20</v>
      </c>
      <c r="B23" s="11">
        <v>4976.1643692310499</v>
      </c>
      <c r="C23" s="8">
        <v>2.0069613158484048</v>
      </c>
    </row>
    <row r="24" spans="1:3">
      <c r="A24" s="8" t="s">
        <v>104</v>
      </c>
      <c r="B24" s="11">
        <v>4929.0470102293411</v>
      </c>
      <c r="C24" s="8">
        <v>2.0068954018645377</v>
      </c>
    </row>
    <row r="25" spans="1:3">
      <c r="A25" s="8" t="s">
        <v>108</v>
      </c>
      <c r="B25" s="11">
        <v>4985.5641802046121</v>
      </c>
      <c r="C25" s="8">
        <v>2.006974465545289</v>
      </c>
    </row>
    <row r="26" spans="1:3">
      <c r="A26" s="8" t="s">
        <v>46</v>
      </c>
      <c r="B26" s="11">
        <v>8170.3953822490848</v>
      </c>
      <c r="C26" s="8">
        <v>2.01142982800445</v>
      </c>
    </row>
    <row r="27" spans="1:3">
      <c r="A27" s="8" t="s">
        <v>134</v>
      </c>
      <c r="B27" s="11">
        <v>874.69291061343677</v>
      </c>
      <c r="C27" s="8">
        <v>2.0012236359511735</v>
      </c>
    </row>
    <row r="28" spans="1:3">
      <c r="A28" s="8" t="s">
        <v>52</v>
      </c>
      <c r="B28" s="11">
        <v>2252.1288460831238</v>
      </c>
      <c r="C28" s="8">
        <v>4.0031505752353818</v>
      </c>
    </row>
    <row r="29" spans="1:3">
      <c r="A29" s="8" t="s">
        <v>178</v>
      </c>
      <c r="B29" s="11">
        <v>6381.1920483912445</v>
      </c>
      <c r="C29" s="8">
        <v>4.0089268541073224</v>
      </c>
    </row>
    <row r="30" spans="1:3">
      <c r="A30" s="8" t="s">
        <v>160</v>
      </c>
      <c r="B30" s="11">
        <v>2942.7470646283286</v>
      </c>
      <c r="C30" s="8">
        <v>2.0041167031992573</v>
      </c>
    </row>
    <row r="31" spans="1:3">
      <c r="A31" s="8" t="s">
        <v>184</v>
      </c>
      <c r="B31" s="11">
        <v>25147.318416759994</v>
      </c>
      <c r="C31" s="8">
        <v>2.0351793898372623</v>
      </c>
    </row>
    <row r="32" spans="1:3">
      <c r="A32" s="8" t="s">
        <v>98</v>
      </c>
      <c r="B32" s="11">
        <v>3999.5488323379482</v>
      </c>
      <c r="C32" s="8">
        <v>2.0055950970681713</v>
      </c>
    </row>
    <row r="33" spans="1:3">
      <c r="A33" s="8" t="s">
        <v>36</v>
      </c>
      <c r="B33" s="11">
        <v>54654.558134333434</v>
      </c>
      <c r="C33" s="8">
        <v>4.0764580133406829</v>
      </c>
    </row>
    <row r="34" spans="1:3">
      <c r="A34" s="8" t="s">
        <v>114</v>
      </c>
      <c r="B34" s="11">
        <v>5929.1133332894397</v>
      </c>
      <c r="C34" s="8">
        <v>2.0082944267012617</v>
      </c>
    </row>
    <row r="35" spans="1:3">
      <c r="A35" s="8" t="s">
        <v>156</v>
      </c>
      <c r="B35" s="11">
        <v>4873.0257095694242</v>
      </c>
      <c r="C35" s="8">
        <v>2.0068170318712668</v>
      </c>
    </row>
    <row r="36" spans="1:3">
      <c r="A36" s="8" t="s">
        <v>116</v>
      </c>
      <c r="B36" s="11">
        <v>9232.7374318593993</v>
      </c>
      <c r="C36" s="8">
        <v>2.0129159723513101</v>
      </c>
    </row>
    <row r="37" spans="1:3">
      <c r="A37" s="8" t="s">
        <v>48</v>
      </c>
      <c r="B37" s="11">
        <v>15216.394222388168</v>
      </c>
      <c r="C37" s="8">
        <v>3.0212867016433091</v>
      </c>
    </row>
    <row r="38" spans="1:3">
      <c r="A38" s="8" t="s">
        <v>80</v>
      </c>
      <c r="B38" s="11">
        <v>11692.164505437697</v>
      </c>
      <c r="C38" s="8">
        <v>2.0163565437221354</v>
      </c>
    </row>
    <row r="39" spans="1:3">
      <c r="A39" s="8" t="s">
        <v>34</v>
      </c>
      <c r="B39" s="11">
        <v>3090.5008377501986</v>
      </c>
      <c r="C39" s="8">
        <v>2.0043234006887647</v>
      </c>
    </row>
    <row r="40" spans="1:3">
      <c r="A40" s="8" t="s">
        <v>128</v>
      </c>
      <c r="B40" s="11">
        <v>5402.6082453233666</v>
      </c>
      <c r="C40" s="8">
        <v>3.0075578818564437</v>
      </c>
    </row>
    <row r="41" spans="1:3">
      <c r="A41" s="8" t="s">
        <v>88</v>
      </c>
      <c r="B41" s="11">
        <v>18001.560988091736</v>
      </c>
      <c r="C41" s="8">
        <v>2.0251829607111214</v>
      </c>
    </row>
    <row r="42" spans="1:3">
      <c r="A42" s="8" t="s">
        <v>142</v>
      </c>
      <c r="B42" s="11">
        <v>5866.64350987136</v>
      </c>
      <c r="C42" s="8">
        <v>2.008207035662795</v>
      </c>
    </row>
    <row r="43" spans="1:3">
      <c r="A43" s="8" t="s">
        <v>172</v>
      </c>
      <c r="B43" s="11">
        <v>19628.442240163284</v>
      </c>
      <c r="C43" s="8">
        <v>2.0274588570447607</v>
      </c>
    </row>
    <row r="44" spans="1:3">
      <c r="A44" s="8" t="s">
        <v>94</v>
      </c>
      <c r="B44" s="11">
        <v>5057.0059876571549</v>
      </c>
      <c r="C44" s="8">
        <v>2.0070744077798208</v>
      </c>
    </row>
    <row r="45" spans="1:3">
      <c r="A45" s="8" t="s">
        <v>106</v>
      </c>
      <c r="B45" s="11">
        <v>6746.0926635622945</v>
      </c>
      <c r="C45" s="8">
        <v>3.0094373252748725</v>
      </c>
    </row>
    <row r="46" spans="1:3">
      <c r="A46" s="8" t="s">
        <v>66</v>
      </c>
      <c r="B46" s="11">
        <v>304.15162734252084</v>
      </c>
      <c r="C46" s="8">
        <v>2.0004254874611518</v>
      </c>
    </row>
    <row r="47" spans="1:3">
      <c r="A47" s="8" t="s">
        <v>138</v>
      </c>
      <c r="B47" s="11">
        <v>5119.1149405011083</v>
      </c>
      <c r="C47" s="8">
        <v>2.0071612939848733</v>
      </c>
    </row>
    <row r="48" spans="1:3">
      <c r="A48" s="8" t="s">
        <v>28</v>
      </c>
      <c r="B48" s="11">
        <v>3920.6262476089314</v>
      </c>
      <c r="C48" s="8">
        <v>2.0054846897345091</v>
      </c>
    </row>
    <row r="49" spans="1:3">
      <c r="A49" s="8" t="s">
        <v>90</v>
      </c>
      <c r="B49" s="11">
        <v>427.41366125340028</v>
      </c>
      <c r="C49" s="8">
        <v>2.0005979226715871</v>
      </c>
    </row>
    <row r="50" spans="1:3">
      <c r="A50" s="8" t="s">
        <v>140</v>
      </c>
      <c r="B50" s="11">
        <v>6386.4025458827136</v>
      </c>
      <c r="C50" s="8">
        <v>3.0089341432392871</v>
      </c>
    </row>
    <row r="51" spans="1:3">
      <c r="A51" s="8" t="s">
        <v>14</v>
      </c>
      <c r="B51" s="11">
        <v>4873.5399576199607</v>
      </c>
      <c r="C51" s="8">
        <v>2.0068177512693488</v>
      </c>
    </row>
    <row r="52" spans="1:3">
      <c r="A52" s="8" t="s">
        <v>162</v>
      </c>
      <c r="B52" s="11">
        <v>2274.7613598298494</v>
      </c>
      <c r="C52" s="8">
        <v>4.0031822365843537</v>
      </c>
    </row>
    <row r="53" spans="1:3">
      <c r="A53" s="8" t="s">
        <v>158</v>
      </c>
      <c r="B53" s="11">
        <v>147.16313982954912</v>
      </c>
      <c r="C53" s="8">
        <v>2.0002058712336614</v>
      </c>
    </row>
    <row r="54" spans="1:3">
      <c r="A54" s="8" t="s">
        <v>201</v>
      </c>
      <c r="B54" s="11">
        <v>424.37734206557923</v>
      </c>
      <c r="C54" s="8">
        <v>3.0005936750673454</v>
      </c>
    </row>
    <row r="55" spans="1:3">
      <c r="A55" s="8" t="s">
        <v>96</v>
      </c>
      <c r="B55" s="11">
        <v>1399.002323728655</v>
      </c>
      <c r="C55" s="8">
        <v>2.0019571091960597</v>
      </c>
    </row>
    <row r="56" spans="1:3">
      <c r="A56" s="8" t="s">
        <v>76</v>
      </c>
      <c r="B56" s="11">
        <v>1538.0593829251768</v>
      </c>
      <c r="C56" s="8">
        <v>2.0021516405736812</v>
      </c>
    </row>
    <row r="57" spans="1:3">
      <c r="A57" s="8" t="s">
        <v>180</v>
      </c>
      <c r="B57" s="11">
        <v>22821.875878648545</v>
      </c>
      <c r="C57" s="8">
        <v>3.0319262537280118</v>
      </c>
    </row>
    <row r="58" spans="1:3">
      <c r="A58" s="8" t="s">
        <v>136</v>
      </c>
      <c r="B58" s="11">
        <v>467.42933229706938</v>
      </c>
      <c r="C58" s="8">
        <v>2.0006539018765235</v>
      </c>
    </row>
    <row r="59" spans="1:3">
      <c r="A59" s="8" t="s">
        <v>122</v>
      </c>
      <c r="B59" s="11">
        <v>4976.9122837352443</v>
      </c>
      <c r="C59" s="8">
        <v>2.0069623621299795</v>
      </c>
    </row>
    <row r="60" spans="1:3">
      <c r="A60" s="8" t="s">
        <v>60</v>
      </c>
      <c r="B60" s="11">
        <v>2148.7958680996144</v>
      </c>
      <c r="C60" s="8">
        <v>2.003006019420114</v>
      </c>
    </row>
    <row r="61" spans="1:3">
      <c r="A61" s="8" t="s">
        <v>72</v>
      </c>
      <c r="B61" s="11">
        <v>291.03899069177658</v>
      </c>
      <c r="C61" s="8">
        <v>2.0004071437734119</v>
      </c>
    </row>
    <row r="62" spans="1:3">
      <c r="A62" s="8" t="s">
        <v>86</v>
      </c>
      <c r="B62" s="11">
        <v>3423.2434767599361</v>
      </c>
      <c r="C62" s="8">
        <v>3.0047888850326299</v>
      </c>
    </row>
    <row r="63" spans="1:3">
      <c r="A63" s="8" t="s">
        <v>182</v>
      </c>
      <c r="B63" s="11">
        <v>8052.2631994623598</v>
      </c>
      <c r="C63" s="8">
        <v>2.0112645691071909</v>
      </c>
    </row>
    <row r="64" spans="1:3">
      <c r="A64" s="8" t="s">
        <v>110</v>
      </c>
      <c r="B64" s="11">
        <v>627.26215663809342</v>
      </c>
      <c r="C64" s="8">
        <v>2.0008774971379784</v>
      </c>
    </row>
    <row r="65" spans="1:3">
      <c r="A65" s="8" t="s">
        <v>132</v>
      </c>
      <c r="B65" s="11">
        <v>7209.2424495674568</v>
      </c>
      <c r="C65" s="8">
        <v>2.0100852403569061</v>
      </c>
    </row>
    <row r="66" spans="1:3">
      <c r="A66" s="8" t="s">
        <v>120</v>
      </c>
      <c r="B66" s="11">
        <v>17311.549882544368</v>
      </c>
      <c r="C66" s="8">
        <v>4.0242176820570794</v>
      </c>
    </row>
    <row r="67" spans="1:3">
      <c r="A67" s="8" t="s">
        <v>124</v>
      </c>
      <c r="B67" s="11">
        <v>1964.041274759009</v>
      </c>
      <c r="C67" s="8">
        <v>2.0027475602971316</v>
      </c>
    </row>
    <row r="68" spans="1:3">
      <c r="A68" s="8" t="s">
        <v>174</v>
      </c>
      <c r="B68" s="11">
        <v>556.48719237485716</v>
      </c>
      <c r="C68" s="8">
        <v>2.0007784877717598</v>
      </c>
    </row>
    <row r="69" spans="1:3">
      <c r="A69" s="8" t="s">
        <v>199</v>
      </c>
      <c r="B69" s="11">
        <v>10.674094470987844</v>
      </c>
      <c r="C69" s="8">
        <v>3.0000149323329164</v>
      </c>
    </row>
    <row r="70" spans="1:3">
      <c r="A70" s="8" t="s">
        <v>170</v>
      </c>
      <c r="B70" s="11">
        <v>2328.7893130568968</v>
      </c>
      <c r="C70" s="8">
        <v>3.0032578180200034</v>
      </c>
    </row>
    <row r="71" spans="1:3">
      <c r="A71" s="8" t="s">
        <v>191</v>
      </c>
      <c r="B71" s="11">
        <v>93.206799063983937</v>
      </c>
      <c r="C71" s="8">
        <v>3.0001303899789797</v>
      </c>
    </row>
    <row r="72" spans="1:3">
      <c r="A72" s="8" t="s">
        <v>126</v>
      </c>
      <c r="B72" s="11">
        <v>6101.0187755695115</v>
      </c>
      <c r="C72" s="8">
        <v>2.0085349107349422</v>
      </c>
    </row>
    <row r="73" spans="1:3">
      <c r="A73" s="8" t="s">
        <v>168</v>
      </c>
      <c r="B73" s="11">
        <v>2543.6297174159872</v>
      </c>
      <c r="C73" s="8">
        <v>3.0035583651484279</v>
      </c>
    </row>
    <row r="74" spans="1:3">
      <c r="A74" s="8" t="s">
        <v>44</v>
      </c>
      <c r="B74" s="11">
        <v>7923.6262972033464</v>
      </c>
      <c r="C74" s="8">
        <v>2.0110846148211303</v>
      </c>
    </row>
    <row r="75" spans="1:3">
      <c r="A75" s="8" t="s">
        <v>92</v>
      </c>
      <c r="B75" s="11">
        <v>3.9107921697520878</v>
      </c>
      <c r="C75" s="8">
        <v>2.0000054709325279</v>
      </c>
    </row>
    <row r="76" spans="1:3">
      <c r="A76" s="8" t="s">
        <v>50</v>
      </c>
      <c r="B76" s="11">
        <v>14836.654841799455</v>
      </c>
      <c r="C76" s="8">
        <v>3.0207554720511554</v>
      </c>
    </row>
    <row r="77" spans="1:3">
      <c r="A77" s="8" t="s">
        <v>64</v>
      </c>
      <c r="B77" s="11">
        <v>300.03035037687886</v>
      </c>
      <c r="C77" s="8">
        <v>2.000419722074696</v>
      </c>
    </row>
    <row r="78" spans="1:3">
      <c r="A78" s="8" t="s">
        <v>112</v>
      </c>
      <c r="B78" s="11">
        <v>18100.248376369211</v>
      </c>
      <c r="C78" s="8">
        <v>2.0253210176620335</v>
      </c>
    </row>
    <row r="79" spans="1:3">
      <c r="A79" s="8" t="s">
        <v>54</v>
      </c>
      <c r="B79" s="11">
        <v>295.14044572785002</v>
      </c>
      <c r="C79" s="8">
        <v>2.0004128814303352</v>
      </c>
    </row>
    <row r="80" spans="1:3">
      <c r="A80" s="8" t="s">
        <v>12</v>
      </c>
      <c r="B80" s="11">
        <v>20486.08901378564</v>
      </c>
      <c r="C80" s="8">
        <v>2.0286586466084788</v>
      </c>
    </row>
    <row r="81" spans="1:12">
      <c r="A81" s="8" t="s">
        <v>24</v>
      </c>
      <c r="B81" s="11">
        <v>4015.5431281430569</v>
      </c>
      <c r="C81" s="8">
        <v>2.0056174720012745</v>
      </c>
    </row>
    <row r="82" spans="1:12">
      <c r="A82" s="8" t="s">
        <v>203</v>
      </c>
      <c r="B82" s="11">
        <v>176.63246555799694</v>
      </c>
      <c r="C82" s="8">
        <v>3.0002470968180703</v>
      </c>
    </row>
    <row r="83" spans="1:12">
      <c r="A83" s="8" t="s">
        <v>74</v>
      </c>
      <c r="B83" s="11">
        <v>2073.7522113959453</v>
      </c>
      <c r="C83" s="8">
        <v>3.0029010384432069</v>
      </c>
    </row>
    <row r="84" spans="1:12">
      <c r="A84" s="8" t="s">
        <v>82</v>
      </c>
      <c r="B84" s="11">
        <v>7826.8900970435197</v>
      </c>
      <c r="C84" s="8">
        <v>3.0109492874498218</v>
      </c>
    </row>
    <row r="85" spans="1:12">
      <c r="A85" s="8" t="s">
        <v>78</v>
      </c>
      <c r="B85" s="11">
        <v>589.52760092653284</v>
      </c>
      <c r="C85" s="8">
        <v>2.0008247090584019</v>
      </c>
    </row>
    <row r="86" spans="1:12">
      <c r="A86" s="8" t="s">
        <v>16</v>
      </c>
      <c r="B86" s="11">
        <v>2874.0443294152929</v>
      </c>
      <c r="C86" s="8">
        <v>2.0040205927406833</v>
      </c>
    </row>
    <row r="87" spans="1:12">
      <c r="A87" s="8" t="s">
        <v>118</v>
      </c>
      <c r="B87" s="11">
        <v>3244.6970106487943</v>
      </c>
      <c r="C87" s="8">
        <v>2.0045391106578321</v>
      </c>
    </row>
    <row r="88" spans="1:12">
      <c r="A88" s="8" t="s">
        <v>197</v>
      </c>
      <c r="B88" s="11">
        <v>1148.8765485409094</v>
      </c>
      <c r="C88" s="8">
        <v>3.0016072002313008</v>
      </c>
      <c r="L88" s="10"/>
    </row>
    <row r="89" spans="1:12">
      <c r="A89" s="8" t="s">
        <v>100</v>
      </c>
      <c r="B89" s="11">
        <v>3161.4780679056098</v>
      </c>
      <c r="C89" s="8">
        <v>3.004422693011223</v>
      </c>
      <c r="L89" s="10"/>
    </row>
    <row r="90" spans="1:12">
      <c r="A90" s="8" t="s">
        <v>32</v>
      </c>
      <c r="B90" s="11">
        <v>8804.9772968709894</v>
      </c>
      <c r="C90" s="8">
        <v>2.0123175649865086</v>
      </c>
      <c r="L90" s="10"/>
    </row>
    <row r="91" spans="1:12">
      <c r="A91" s="8" t="s">
        <v>166</v>
      </c>
      <c r="B91" s="11">
        <v>542.72614394949142</v>
      </c>
      <c r="C91" s="8">
        <v>2.0007592370000036</v>
      </c>
    </row>
    <row r="92" spans="1:12">
      <c r="A92" s="8" t="s">
        <v>152</v>
      </c>
      <c r="B92" s="11">
        <v>23531.732835473369</v>
      </c>
      <c r="C92" s="8">
        <v>4.0329192953795703</v>
      </c>
    </row>
    <row r="93" spans="1:12">
      <c r="A93" s="8" t="s">
        <v>130</v>
      </c>
      <c r="B93" s="11">
        <v>27980.205143332627</v>
      </c>
      <c r="C93" s="8">
        <v>4.0391424058880112</v>
      </c>
    </row>
    <row r="94" spans="1:12">
      <c r="A94" s="8" t="s">
        <v>154</v>
      </c>
      <c r="B94" s="11">
        <v>30624.31319304436</v>
      </c>
      <c r="C94" s="8">
        <v>4.0428413333963471</v>
      </c>
    </row>
    <row r="95" spans="1:12">
      <c r="A95" s="8" t="s">
        <v>186</v>
      </c>
      <c r="B95" s="11">
        <v>502.26299046364454</v>
      </c>
      <c r="C95" s="8">
        <v>2.0007026317975347</v>
      </c>
    </row>
    <row r="96" spans="1:12">
      <c r="A96" s="8" t="s">
        <v>150</v>
      </c>
      <c r="B96" s="11">
        <v>11070.993556415908</v>
      </c>
      <c r="C96" s="8">
        <v>4.015487567769747</v>
      </c>
      <c r="L96" s="10"/>
    </row>
    <row r="97" spans="1:12" s="9" customFormat="1">
      <c r="A97" s="9" t="s">
        <v>216</v>
      </c>
      <c r="B97" s="10">
        <v>9328.4832000000006</v>
      </c>
      <c r="C97" s="9">
        <v>2.0013751793232699</v>
      </c>
      <c r="D97" s="16"/>
      <c r="L97" s="10"/>
    </row>
    <row r="98" spans="1:12" s="9" customFormat="1">
      <c r="A98" s="9" t="s">
        <v>56</v>
      </c>
      <c r="B98" s="10">
        <v>9214.0061540000006</v>
      </c>
      <c r="C98" s="9">
        <v>2.0037117932327799</v>
      </c>
      <c r="D98" s="16"/>
      <c r="L98" s="10"/>
    </row>
    <row r="99" spans="1:12" s="9" customFormat="1">
      <c r="A99" s="9" t="s">
        <v>217</v>
      </c>
      <c r="B99" s="10">
        <v>12486.374400000001</v>
      </c>
      <c r="C99" s="9">
        <v>5</v>
      </c>
      <c r="D99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72E5D-EE00-4AB1-9ECC-8272A272006B}">
  <dimension ref="A1:L106"/>
  <sheetViews>
    <sheetView tabSelected="1" topLeftCell="A84" workbookViewId="0">
      <selection activeCell="A100" sqref="A100:XFD101"/>
    </sheetView>
  </sheetViews>
  <sheetFormatPr defaultRowHeight="15"/>
  <cols>
    <col min="1" max="1" width="22" style="8" bestFit="1" customWidth="1"/>
    <col min="2" max="2" width="21.5703125" style="11" bestFit="1" customWidth="1"/>
    <col min="3" max="3" width="25" style="8" bestFit="1" customWidth="1"/>
    <col min="4" max="4" width="9.140625" style="8"/>
    <col min="5" max="5" width="25" style="11" bestFit="1" customWidth="1"/>
    <col min="6" max="16384" width="9.140625" style="8"/>
  </cols>
  <sheetData>
    <row r="1" spans="1:12">
      <c r="A1" s="12" t="s">
        <v>0</v>
      </c>
      <c r="B1" s="12" t="s">
        <v>214</v>
      </c>
      <c r="C1" s="12" t="s">
        <v>215</v>
      </c>
      <c r="D1" s="12"/>
      <c r="E1" s="12"/>
      <c r="F1" s="12"/>
      <c r="G1" s="12"/>
      <c r="H1" s="12"/>
      <c r="I1" s="12"/>
      <c r="J1" s="12"/>
      <c r="K1" s="12"/>
      <c r="L1" s="12"/>
    </row>
    <row r="2" spans="1:12">
      <c r="A2" s="8" t="s">
        <v>30</v>
      </c>
      <c r="B2" s="11">
        <v>1722.5658856839893</v>
      </c>
      <c r="C2" s="15">
        <v>2.0023393049110405</v>
      </c>
      <c r="E2" s="8"/>
      <c r="I2" s="11"/>
    </row>
    <row r="3" spans="1:12">
      <c r="A3" s="8" t="s">
        <v>18</v>
      </c>
      <c r="B3" s="11">
        <v>5790.3138335334652</v>
      </c>
      <c r="C3" s="15">
        <v>2.0078634493460159</v>
      </c>
      <c r="E3" s="8"/>
      <c r="I3" s="11"/>
    </row>
    <row r="4" spans="1:12">
      <c r="A4" s="8" t="s">
        <v>58</v>
      </c>
      <c r="B4" s="11">
        <v>2002.2050040084566</v>
      </c>
      <c r="C4" s="15">
        <v>4.0027190646451976</v>
      </c>
      <c r="E4" s="8"/>
      <c r="I4" s="11"/>
    </row>
    <row r="5" spans="1:12">
      <c r="A5" s="8" t="s">
        <v>10</v>
      </c>
      <c r="B5" s="11">
        <v>1834.9032653515987</v>
      </c>
      <c r="C5" s="15">
        <v>2.0024918630141202</v>
      </c>
      <c r="E5" s="8"/>
      <c r="I5" s="11"/>
    </row>
    <row r="6" spans="1:12">
      <c r="A6" s="8" t="s">
        <v>68</v>
      </c>
      <c r="B6" s="11">
        <v>6461.535187212583</v>
      </c>
      <c r="C6" s="15">
        <v>4.0087749914949153</v>
      </c>
      <c r="E6" s="8"/>
      <c r="I6" s="11"/>
    </row>
    <row r="7" spans="1:12">
      <c r="A7" s="8" t="s">
        <v>84</v>
      </c>
      <c r="B7" s="11">
        <v>55925.58366292416</v>
      </c>
      <c r="C7" s="15">
        <v>4.075948904830156</v>
      </c>
      <c r="E7" s="8"/>
      <c r="I7" s="11"/>
    </row>
    <row r="8" spans="1:12">
      <c r="A8" s="8" t="s">
        <v>189</v>
      </c>
      <c r="B8" s="11">
        <v>165.39920257390753</v>
      </c>
      <c r="C8" s="15">
        <v>3.000224617920324</v>
      </c>
      <c r="E8" s="8"/>
      <c r="I8" s="11"/>
    </row>
    <row r="9" spans="1:12">
      <c r="A9" s="8" t="s">
        <v>208</v>
      </c>
      <c r="B9" s="11">
        <v>310.14074386738935</v>
      </c>
      <c r="C9" s="15">
        <v>3.0004211820118303</v>
      </c>
      <c r="E9" s="8"/>
      <c r="I9" s="11"/>
    </row>
    <row r="10" spans="1:12">
      <c r="A10" s="8" t="s">
        <v>102</v>
      </c>
      <c r="B10" s="11">
        <v>2785.9340522267926</v>
      </c>
      <c r="C10" s="15">
        <v>2.0037833961907481</v>
      </c>
      <c r="E10" s="8"/>
      <c r="I10" s="11"/>
    </row>
    <row r="11" spans="1:12">
      <c r="A11" s="8" t="s">
        <v>205</v>
      </c>
      <c r="B11" s="11">
        <v>20.208019734333146</v>
      </c>
      <c r="C11" s="15">
        <v>3.000027443199822</v>
      </c>
      <c r="E11" s="8"/>
      <c r="I11" s="11"/>
    </row>
    <row r="12" spans="1:12">
      <c r="A12" s="8" t="s">
        <v>193</v>
      </c>
      <c r="B12" s="11">
        <v>608.08066625014669</v>
      </c>
      <c r="C12" s="15">
        <v>3.0008257948800043</v>
      </c>
      <c r="E12" s="8"/>
      <c r="I12" s="11"/>
    </row>
    <row r="13" spans="1:12">
      <c r="A13" s="8" t="s">
        <v>6</v>
      </c>
      <c r="B13" s="11">
        <v>16557.386292603635</v>
      </c>
      <c r="C13" s="15">
        <v>4.0224855115210314</v>
      </c>
      <c r="E13" s="8"/>
      <c r="I13" s="11"/>
    </row>
    <row r="14" spans="1:12">
      <c r="A14" s="8" t="s">
        <v>42</v>
      </c>
      <c r="B14" s="11">
        <v>1291.335753642589</v>
      </c>
      <c r="C14" s="15">
        <v>4.0017536792615038</v>
      </c>
      <c r="E14" s="8"/>
      <c r="I14" s="11"/>
    </row>
    <row r="15" spans="1:12">
      <c r="A15" s="8" t="s">
        <v>195</v>
      </c>
      <c r="B15" s="11">
        <v>92.220950970774624</v>
      </c>
      <c r="C15" s="15">
        <v>3.0001252392871005</v>
      </c>
      <c r="E15" s="8"/>
      <c r="I15" s="11"/>
    </row>
    <row r="16" spans="1:12">
      <c r="A16" s="8" t="s">
        <v>26</v>
      </c>
      <c r="B16" s="11">
        <v>1096.1178923526247</v>
      </c>
      <c r="C16" s="15">
        <v>2.0014885665564206</v>
      </c>
      <c r="E16" s="8"/>
      <c r="I16" s="11"/>
    </row>
    <row r="17" spans="1:9">
      <c r="A17" s="8" t="s">
        <v>144</v>
      </c>
      <c r="B17" s="11">
        <v>15706.274500682257</v>
      </c>
      <c r="C17" s="15">
        <v>4.0213296718453284</v>
      </c>
      <c r="E17" s="8"/>
      <c r="I17" s="11"/>
    </row>
    <row r="18" spans="1:9">
      <c r="A18" s="8" t="s">
        <v>40</v>
      </c>
      <c r="B18" s="11">
        <v>154.39742382401676</v>
      </c>
      <c r="C18" s="15">
        <v>2.0002096771187712</v>
      </c>
      <c r="E18" s="8"/>
      <c r="I18" s="11"/>
    </row>
    <row r="19" spans="1:9">
      <c r="A19" s="8" t="s">
        <v>164</v>
      </c>
      <c r="B19" s="11">
        <v>20727.045274348955</v>
      </c>
      <c r="C19" s="15">
        <v>2.0281480547157074</v>
      </c>
      <c r="E19" s="8"/>
      <c r="I19" s="11"/>
    </row>
    <row r="20" spans="1:9">
      <c r="A20" s="8" t="s">
        <v>22</v>
      </c>
      <c r="B20" s="11">
        <v>7870.2437223169327</v>
      </c>
      <c r="C20" s="15">
        <v>2.0106880671118081</v>
      </c>
      <c r="E20" s="8"/>
      <c r="I20" s="11"/>
    </row>
    <row r="21" spans="1:9">
      <c r="A21" s="8" t="s">
        <v>56</v>
      </c>
      <c r="B21" s="11">
        <v>8520.9925307227459</v>
      </c>
      <c r="C21" s="15">
        <v>4.0115718068259225</v>
      </c>
      <c r="E21" s="8"/>
      <c r="I21" s="11"/>
    </row>
    <row r="22" spans="1:9">
      <c r="A22" s="8" t="s">
        <v>146</v>
      </c>
      <c r="B22" s="11">
        <v>6218.4902476871539</v>
      </c>
      <c r="C22" s="15">
        <v>2.0084449279395176</v>
      </c>
      <c r="E22" s="8"/>
      <c r="I22" s="11"/>
    </row>
    <row r="23" spans="1:9">
      <c r="A23" s="8" t="s">
        <v>20</v>
      </c>
      <c r="B23" s="11">
        <v>4967.7450553673061</v>
      </c>
      <c r="C23" s="15">
        <v>2.0067463720844581</v>
      </c>
      <c r="E23" s="8"/>
      <c r="I23" s="11"/>
    </row>
    <row r="24" spans="1:9">
      <c r="A24" s="8" t="s">
        <v>104</v>
      </c>
      <c r="B24" s="11">
        <v>4865.5256684238784</v>
      </c>
      <c r="C24" s="15">
        <v>2.0066075545704996</v>
      </c>
      <c r="E24" s="8"/>
      <c r="I24" s="11"/>
    </row>
    <row r="25" spans="1:9">
      <c r="A25" s="8" t="s">
        <v>108</v>
      </c>
      <c r="B25" s="11">
        <v>5001.4705852047255</v>
      </c>
      <c r="C25" s="15">
        <v>2.0067921725372777</v>
      </c>
      <c r="E25" s="8"/>
      <c r="I25" s="11"/>
    </row>
    <row r="26" spans="1:9">
      <c r="A26" s="8" t="s">
        <v>46</v>
      </c>
      <c r="B26" s="11">
        <v>8322.7269445856837</v>
      </c>
      <c r="C26" s="15">
        <v>2.0113025552035637</v>
      </c>
      <c r="E26" s="8"/>
      <c r="I26" s="11"/>
    </row>
    <row r="27" spans="1:9">
      <c r="A27" s="8" t="s">
        <v>134</v>
      </c>
      <c r="B27" s="11">
        <v>872.79904131612557</v>
      </c>
      <c r="C27" s="15">
        <v>2.001185291721304</v>
      </c>
      <c r="E27" s="8"/>
      <c r="I27" s="11"/>
    </row>
    <row r="28" spans="1:9">
      <c r="A28" s="8" t="s">
        <v>52</v>
      </c>
      <c r="B28" s="11">
        <v>2250.2696375927999</v>
      </c>
      <c r="C28" s="15">
        <v>4.0030559451212495</v>
      </c>
      <c r="E28" s="8"/>
      <c r="I28" s="11"/>
    </row>
    <row r="29" spans="1:9">
      <c r="A29" s="8" t="s">
        <v>178</v>
      </c>
      <c r="B29" s="11">
        <v>6387.9630244680538</v>
      </c>
      <c r="C29" s="15">
        <v>4.008675077916541</v>
      </c>
      <c r="E29" s="8"/>
      <c r="I29" s="11"/>
    </row>
    <row r="30" spans="1:9">
      <c r="A30" s="8" t="s">
        <v>160</v>
      </c>
      <c r="B30" s="11">
        <v>2910.7519433214934</v>
      </c>
      <c r="C30" s="15">
        <v>2.0039529032662395</v>
      </c>
      <c r="E30" s="8"/>
      <c r="I30" s="11"/>
    </row>
    <row r="31" spans="1:9">
      <c r="A31" s="8" t="s">
        <v>184</v>
      </c>
      <c r="B31" s="11">
        <v>24646.89492717844</v>
      </c>
      <c r="C31" s="15">
        <v>2.0334713480768571</v>
      </c>
      <c r="E31" s="8"/>
      <c r="I31" s="11"/>
    </row>
    <row r="32" spans="1:9">
      <c r="A32" s="8" t="s">
        <v>98</v>
      </c>
      <c r="B32" s="11">
        <v>4085.0004850628975</v>
      </c>
      <c r="C32" s="15">
        <v>2.0055475739858371</v>
      </c>
      <c r="E32" s="8"/>
      <c r="I32" s="11"/>
    </row>
    <row r="33" spans="1:9">
      <c r="A33" s="8" t="s">
        <v>36</v>
      </c>
      <c r="B33" s="11">
        <v>53254.160277354553</v>
      </c>
      <c r="C33" s="15">
        <v>4.072321018142472</v>
      </c>
      <c r="E33" s="8"/>
      <c r="I33" s="11"/>
    </row>
    <row r="34" spans="1:9">
      <c r="A34" s="8" t="s">
        <v>114</v>
      </c>
      <c r="B34" s="11">
        <v>5961.0217618585548</v>
      </c>
      <c r="C34" s="15">
        <v>2.0080952767021727</v>
      </c>
      <c r="E34" s="8"/>
      <c r="I34" s="11"/>
    </row>
    <row r="35" spans="1:9">
      <c r="A35" s="8" t="s">
        <v>156</v>
      </c>
      <c r="B35" s="11">
        <v>4759.4719957611987</v>
      </c>
      <c r="C35" s="15">
        <v>2.0064635299620037</v>
      </c>
      <c r="E35" s="8"/>
      <c r="I35" s="11"/>
    </row>
    <row r="36" spans="1:9">
      <c r="A36" s="8" t="s">
        <v>116</v>
      </c>
      <c r="B36" s="11">
        <v>9293.0631340754753</v>
      </c>
      <c r="C36" s="15">
        <v>2.0126203057942949</v>
      </c>
      <c r="E36" s="8"/>
      <c r="I36" s="11"/>
    </row>
    <row r="37" spans="1:9">
      <c r="A37" s="8" t="s">
        <v>48</v>
      </c>
      <c r="B37" s="11">
        <v>15148.59001532217</v>
      </c>
      <c r="C37" s="15">
        <v>3.0205723167471832</v>
      </c>
      <c r="E37" s="8"/>
      <c r="I37" s="11"/>
    </row>
    <row r="38" spans="1:9">
      <c r="A38" s="8" t="s">
        <v>80</v>
      </c>
      <c r="B38" s="11">
        <v>11375.198311608847</v>
      </c>
      <c r="C38" s="15">
        <v>2.0154479184195853</v>
      </c>
      <c r="E38" s="8"/>
      <c r="I38" s="11"/>
    </row>
    <row r="39" spans="1:9">
      <c r="A39" s="8" t="s">
        <v>34</v>
      </c>
      <c r="B39" s="11">
        <v>3009.1822310851976</v>
      </c>
      <c r="C39" s="15">
        <v>2.0040865750505668</v>
      </c>
      <c r="E39" s="8"/>
      <c r="I39" s="11"/>
    </row>
    <row r="40" spans="1:9">
      <c r="A40" s="8" t="s">
        <v>128</v>
      </c>
      <c r="B40" s="11">
        <v>5275.5646295970482</v>
      </c>
      <c r="C40" s="15">
        <v>3.0071644018664796</v>
      </c>
      <c r="E40" s="8"/>
      <c r="I40" s="11"/>
    </row>
    <row r="41" spans="1:9">
      <c r="A41" s="8" t="s">
        <v>88</v>
      </c>
      <c r="B41" s="11">
        <v>17938.001152603723</v>
      </c>
      <c r="C41" s="15">
        <v>2.0243604349414328</v>
      </c>
      <c r="E41" s="8"/>
      <c r="I41" s="11"/>
    </row>
    <row r="42" spans="1:9">
      <c r="A42" s="8" t="s">
        <v>142</v>
      </c>
      <c r="B42" s="11">
        <v>5899.0218132411146</v>
      </c>
      <c r="C42" s="15">
        <v>2.0080110785966081</v>
      </c>
      <c r="E42" s="8"/>
      <c r="I42" s="11"/>
    </row>
    <row r="43" spans="1:9">
      <c r="A43" s="8" t="s">
        <v>172</v>
      </c>
      <c r="B43" s="11">
        <v>20112.340558248557</v>
      </c>
      <c r="C43" s="15">
        <v>2.027313264143594</v>
      </c>
      <c r="E43" s="8"/>
      <c r="I43" s="11"/>
    </row>
    <row r="44" spans="1:9">
      <c r="A44" s="8" t="s">
        <v>94</v>
      </c>
      <c r="B44" s="11">
        <v>5156.0880550597167</v>
      </c>
      <c r="C44" s="15">
        <v>2.0070021484862792</v>
      </c>
      <c r="E44" s="8"/>
      <c r="I44" s="11"/>
    </row>
    <row r="45" spans="1:9">
      <c r="A45" s="8" t="s">
        <v>106</v>
      </c>
      <c r="B45" s="11">
        <v>6832.6494176129363</v>
      </c>
      <c r="C45" s="15">
        <v>3.0092789776407849</v>
      </c>
      <c r="E45" s="8"/>
      <c r="I45" s="11"/>
    </row>
    <row r="46" spans="1:9">
      <c r="A46" s="8" t="s">
        <v>66</v>
      </c>
      <c r="B46" s="11">
        <v>310.62269678287186</v>
      </c>
      <c r="C46" s="15">
        <v>2.0004218365207995</v>
      </c>
      <c r="E46" s="8"/>
      <c r="I46" s="11"/>
    </row>
    <row r="47" spans="1:9">
      <c r="A47" s="8" t="s">
        <v>138</v>
      </c>
      <c r="B47" s="11">
        <v>5055.5618990654211</v>
      </c>
      <c r="C47" s="15">
        <v>2.0068656304393588</v>
      </c>
      <c r="E47" s="8"/>
      <c r="I47" s="11"/>
    </row>
    <row r="48" spans="1:9">
      <c r="A48" s="8" t="s">
        <v>28</v>
      </c>
      <c r="B48" s="11">
        <v>3869.6042303379049</v>
      </c>
      <c r="C48" s="15">
        <v>2.0052550583144857</v>
      </c>
      <c r="E48" s="8"/>
      <c r="I48" s="11"/>
    </row>
    <row r="49" spans="1:9">
      <c r="A49" s="8" t="s">
        <v>90</v>
      </c>
      <c r="B49" s="11">
        <v>417.15312732169622</v>
      </c>
      <c r="C49" s="15">
        <v>2.0005665085832187</v>
      </c>
      <c r="E49" s="8"/>
      <c r="I49" s="11"/>
    </row>
    <row r="50" spans="1:9">
      <c r="A50" s="8" t="s">
        <v>140</v>
      </c>
      <c r="B50" s="11">
        <v>6288.4378673558567</v>
      </c>
      <c r="C50" s="15">
        <v>3.0085399192612234</v>
      </c>
      <c r="E50" s="8"/>
      <c r="I50" s="11"/>
    </row>
    <row r="51" spans="1:9">
      <c r="A51" s="8" t="s">
        <v>14</v>
      </c>
      <c r="B51" s="11">
        <v>4733.0891143005592</v>
      </c>
      <c r="C51" s="15">
        <v>2.0064277010833051</v>
      </c>
      <c r="E51" s="8"/>
      <c r="I51" s="11"/>
    </row>
    <row r="52" spans="1:9">
      <c r="A52" s="8" t="s">
        <v>162</v>
      </c>
      <c r="B52" s="11">
        <v>2210.2451384914539</v>
      </c>
      <c r="C52" s="15">
        <v>4.0030015904471625</v>
      </c>
      <c r="E52" s="8"/>
      <c r="I52" s="11"/>
    </row>
    <row r="53" spans="1:9">
      <c r="A53" s="8" t="s">
        <v>158</v>
      </c>
      <c r="B53" s="11">
        <v>144.64247257904171</v>
      </c>
      <c r="C53" s="15">
        <v>2.0001964295527164</v>
      </c>
      <c r="E53" s="8"/>
      <c r="I53" s="11"/>
    </row>
    <row r="54" spans="1:9">
      <c r="A54" s="8" t="s">
        <v>201</v>
      </c>
      <c r="B54" s="11">
        <v>419.76570932926825</v>
      </c>
      <c r="C54" s="15">
        <v>3.0005700565612505</v>
      </c>
      <c r="E54" s="8"/>
      <c r="I54" s="11"/>
    </row>
    <row r="55" spans="1:9">
      <c r="A55" s="8" t="s">
        <v>96</v>
      </c>
      <c r="B55" s="11">
        <v>1357.1553264897473</v>
      </c>
      <c r="C55" s="15">
        <v>2.0018430645507888</v>
      </c>
      <c r="E55" s="8"/>
      <c r="I55" s="11"/>
    </row>
    <row r="56" spans="1:9">
      <c r="A56" s="8" t="s">
        <v>76</v>
      </c>
      <c r="B56" s="11">
        <v>1502.3481505516406</v>
      </c>
      <c r="C56" s="15">
        <v>2.0020402415001284</v>
      </c>
      <c r="E56" s="8"/>
      <c r="I56" s="11"/>
    </row>
    <row r="57" spans="1:9">
      <c r="A57" s="8" t="s">
        <v>180</v>
      </c>
      <c r="B57" s="11">
        <v>22816.286488004785</v>
      </c>
      <c r="C57" s="15">
        <v>3.0309853175873758</v>
      </c>
      <c r="E57" s="8"/>
      <c r="I57" s="11"/>
    </row>
    <row r="58" spans="1:9">
      <c r="A58" s="8" t="s">
        <v>136</v>
      </c>
      <c r="B58" s="11">
        <v>463.0343480703159</v>
      </c>
      <c r="C58" s="15">
        <v>2.0006288168907926</v>
      </c>
      <c r="E58" s="8"/>
      <c r="I58" s="11"/>
    </row>
    <row r="59" spans="1:9">
      <c r="A59" s="8" t="s">
        <v>122</v>
      </c>
      <c r="B59" s="11">
        <v>4857.758099487457</v>
      </c>
      <c r="C59" s="15">
        <v>2.0065970059393492</v>
      </c>
      <c r="E59" s="8"/>
      <c r="I59" s="11"/>
    </row>
    <row r="60" spans="1:9">
      <c r="A60" s="8" t="s">
        <v>60</v>
      </c>
      <c r="B60" s="11">
        <v>2209.2068947737785</v>
      </c>
      <c r="C60" s="15">
        <v>2.0030001804757656</v>
      </c>
      <c r="E60" s="8"/>
      <c r="I60" s="11"/>
    </row>
    <row r="61" spans="1:9">
      <c r="A61" s="8" t="s">
        <v>72</v>
      </c>
      <c r="B61" s="11">
        <v>294.55044046304101</v>
      </c>
      <c r="C61" s="15">
        <v>2.000400009832803</v>
      </c>
      <c r="E61" s="8"/>
      <c r="I61" s="11"/>
    </row>
    <row r="62" spans="1:9">
      <c r="A62" s="8" t="s">
        <v>86</v>
      </c>
      <c r="B62" s="11">
        <v>3489.7054037662433</v>
      </c>
      <c r="C62" s="15">
        <v>3.004739142378797</v>
      </c>
      <c r="E62" s="8"/>
      <c r="I62" s="11"/>
    </row>
    <row r="63" spans="1:9">
      <c r="A63" s="8" t="s">
        <v>182</v>
      </c>
      <c r="B63" s="11">
        <v>8281.9234673108658</v>
      </c>
      <c r="C63" s="15">
        <v>2.0112471426497858</v>
      </c>
      <c r="E63" s="8"/>
      <c r="I63" s="11"/>
    </row>
    <row r="64" spans="1:9">
      <c r="A64" s="8" t="s">
        <v>110</v>
      </c>
      <c r="B64" s="11">
        <v>610.74334007373182</v>
      </c>
      <c r="C64" s="15">
        <v>2.0008294108844797</v>
      </c>
      <c r="E64" s="8"/>
      <c r="I64" s="11"/>
    </row>
    <row r="65" spans="1:9">
      <c r="A65" s="8" t="s">
        <v>132</v>
      </c>
      <c r="B65" s="11">
        <v>7076.4355324799235</v>
      </c>
      <c r="C65" s="15">
        <v>2.0096100477383012</v>
      </c>
      <c r="E65" s="8"/>
      <c r="I65" s="11"/>
    </row>
    <row r="66" spans="1:9">
      <c r="A66" s="8" t="s">
        <v>120</v>
      </c>
      <c r="B66" s="11">
        <v>17407.571296816146</v>
      </c>
      <c r="C66" s="15">
        <v>4.0236400925865086</v>
      </c>
      <c r="E66" s="8"/>
      <c r="I66" s="11"/>
    </row>
    <row r="67" spans="1:9">
      <c r="A67" s="8" t="s">
        <v>124</v>
      </c>
      <c r="B67" s="11">
        <v>2009.0426690367935</v>
      </c>
      <c r="C67" s="15">
        <v>2.0027283504342139</v>
      </c>
      <c r="E67" s="8"/>
      <c r="I67" s="11"/>
    </row>
    <row r="68" spans="1:9">
      <c r="A68" s="8" t="s">
        <v>174</v>
      </c>
      <c r="B68" s="11">
        <v>566.27552328364629</v>
      </c>
      <c r="C68" s="15">
        <v>2.0007690220290724</v>
      </c>
      <c r="E68" s="8"/>
      <c r="I68" s="11"/>
    </row>
    <row r="69" spans="1:9">
      <c r="A69" s="8" t="s">
        <v>199</v>
      </c>
      <c r="B69" s="11">
        <v>10.403998135340467</v>
      </c>
      <c r="C69" s="15">
        <v>3.0000141289945046</v>
      </c>
      <c r="E69" s="8"/>
      <c r="I69" s="11"/>
    </row>
    <row r="70" spans="1:9">
      <c r="A70" s="8" t="s">
        <v>170</v>
      </c>
      <c r="B70" s="11">
        <v>2331.3603033748263</v>
      </c>
      <c r="C70" s="15">
        <v>3.0031660690905442</v>
      </c>
      <c r="E70" s="8"/>
      <c r="I70" s="11"/>
    </row>
    <row r="71" spans="1:9">
      <c r="A71" s="8" t="s">
        <v>191</v>
      </c>
      <c r="B71" s="11">
        <v>93.521157565602621</v>
      </c>
      <c r="C71" s="15">
        <v>3.0001270050132756</v>
      </c>
      <c r="E71" s="8"/>
      <c r="I71" s="11"/>
    </row>
    <row r="72" spans="1:9">
      <c r="A72" s="8" t="s">
        <v>126</v>
      </c>
      <c r="B72" s="11">
        <v>6238.4384288965903</v>
      </c>
      <c r="C72" s="15">
        <v>2.0084720182695057</v>
      </c>
      <c r="E72" s="8"/>
      <c r="I72" s="11"/>
    </row>
    <row r="73" spans="1:9">
      <c r="A73" s="8" t="s">
        <v>168</v>
      </c>
      <c r="B73" s="11">
        <v>2532.0191916739063</v>
      </c>
      <c r="C73" s="15">
        <v>3.0034385709012108</v>
      </c>
      <c r="E73" s="8"/>
      <c r="I73" s="11"/>
    </row>
    <row r="74" spans="1:9">
      <c r="A74" s="8" t="s">
        <v>44</v>
      </c>
      <c r="B74" s="11">
        <v>7852.5618616952588</v>
      </c>
      <c r="C74" s="15">
        <v>2.0106640545246948</v>
      </c>
      <c r="E74" s="8"/>
      <c r="I74" s="11"/>
    </row>
    <row r="75" spans="1:9">
      <c r="A75" s="8" t="s">
        <v>92</v>
      </c>
      <c r="B75" s="11">
        <v>3.8560967244306359</v>
      </c>
      <c r="C75" s="15">
        <v>2.0000052367146477</v>
      </c>
      <c r="E75" s="8"/>
      <c r="I75" s="11"/>
    </row>
    <row r="76" spans="1:9">
      <c r="A76" s="8" t="s">
        <v>50</v>
      </c>
      <c r="B76" s="11">
        <v>15068.34819789324</v>
      </c>
      <c r="C76" s="15">
        <v>3.0204633455437344</v>
      </c>
      <c r="E76" s="8"/>
      <c r="I76" s="11"/>
    </row>
    <row r="77" spans="1:9">
      <c r="A77" s="8" t="s">
        <v>64</v>
      </c>
      <c r="B77" s="11">
        <v>292.31641737837924</v>
      </c>
      <c r="C77" s="15">
        <v>2.0003969759510705</v>
      </c>
      <c r="E77" s="8"/>
      <c r="I77" s="11"/>
    </row>
    <row r="78" spans="1:9">
      <c r="A78" s="8" t="s">
        <v>112</v>
      </c>
      <c r="B78" s="11">
        <v>17626.747224730439</v>
      </c>
      <c r="C78" s="15">
        <v>2.023937741186665</v>
      </c>
      <c r="E78" s="8"/>
      <c r="I78" s="11"/>
    </row>
    <row r="79" spans="1:9">
      <c r="A79" s="8" t="s">
        <v>54</v>
      </c>
      <c r="B79" s="11">
        <v>293.94383166734082</v>
      </c>
      <c r="C79" s="15">
        <v>2.0003991860367747</v>
      </c>
      <c r="E79" s="8"/>
      <c r="I79" s="11"/>
    </row>
    <row r="80" spans="1:9">
      <c r="A80" s="8" t="s">
        <v>12</v>
      </c>
      <c r="B80" s="11">
        <v>20806.16650147548</v>
      </c>
      <c r="C80" s="15">
        <v>2.0282555041182082</v>
      </c>
      <c r="E80" s="8"/>
      <c r="I80" s="11"/>
    </row>
    <row r="81" spans="1:9">
      <c r="A81" s="8" t="s">
        <v>24</v>
      </c>
      <c r="B81" s="11">
        <v>3952.7165925045474</v>
      </c>
      <c r="C81" s="15">
        <v>2.0053679278184044</v>
      </c>
      <c r="E81" s="8"/>
      <c r="I81" s="11"/>
    </row>
    <row r="82" spans="1:9">
      <c r="A82" s="8" t="s">
        <v>203</v>
      </c>
      <c r="B82" s="11">
        <v>176.01364461710418</v>
      </c>
      <c r="C82" s="15">
        <v>3.0002390327050388</v>
      </c>
      <c r="E82" s="8"/>
      <c r="I82" s="11"/>
    </row>
    <row r="83" spans="1:9">
      <c r="A83" s="8" t="s">
        <v>74</v>
      </c>
      <c r="B83" s="11">
        <v>2088.6460752605499</v>
      </c>
      <c r="C83" s="15">
        <v>3.0028364546528463</v>
      </c>
      <c r="E83" s="8"/>
      <c r="I83" s="11"/>
    </row>
    <row r="84" spans="1:9">
      <c r="A84" s="8" t="s">
        <v>82</v>
      </c>
      <c r="B84" s="11">
        <v>7710.9453512089385</v>
      </c>
      <c r="C84" s="15">
        <v>3.0104717343346699</v>
      </c>
      <c r="E84" s="8"/>
      <c r="I84" s="11"/>
    </row>
    <row r="85" spans="1:9">
      <c r="A85" s="8" t="s">
        <v>78</v>
      </c>
      <c r="B85" s="11">
        <v>578.33745144618058</v>
      </c>
      <c r="C85" s="15">
        <v>2.0007854025507243</v>
      </c>
      <c r="E85" s="8"/>
      <c r="I85" s="11"/>
    </row>
    <row r="86" spans="1:9">
      <c r="A86" s="8" t="s">
        <v>16</v>
      </c>
      <c r="B86" s="11">
        <v>2874.5775773344812</v>
      </c>
      <c r="C86" s="15">
        <v>2.0039037772080084</v>
      </c>
      <c r="E86" s="8"/>
      <c r="I86" s="11"/>
    </row>
    <row r="87" spans="1:9">
      <c r="A87" s="8" t="s">
        <v>118</v>
      </c>
      <c r="B87" s="11">
        <v>3297.2792313070377</v>
      </c>
      <c r="C87" s="15">
        <v>2.0044778208850955</v>
      </c>
      <c r="E87" s="8"/>
      <c r="I87" s="11"/>
    </row>
    <row r="88" spans="1:9">
      <c r="A88" s="8" t="s">
        <v>197</v>
      </c>
      <c r="B88" s="11">
        <v>1136.8804964172321</v>
      </c>
      <c r="C88" s="15">
        <v>3.0015439236029446</v>
      </c>
      <c r="E88" s="8"/>
      <c r="I88" s="11"/>
    </row>
    <row r="89" spans="1:9">
      <c r="A89" s="8" t="s">
        <v>100</v>
      </c>
      <c r="B89" s="11">
        <v>3239.6264530445042</v>
      </c>
      <c r="C89" s="15">
        <v>3.0043995263893981</v>
      </c>
      <c r="E89" s="8"/>
      <c r="I89" s="11"/>
    </row>
    <row r="90" spans="1:9">
      <c r="A90" s="8" t="s">
        <v>32</v>
      </c>
      <c r="B90" s="11">
        <v>8896.2452268360503</v>
      </c>
      <c r="C90" s="15">
        <v>2.0120814131534335</v>
      </c>
      <c r="E90" s="8"/>
      <c r="I90" s="11"/>
    </row>
    <row r="91" spans="1:9">
      <c r="A91" s="8" t="s">
        <v>166</v>
      </c>
      <c r="B91" s="11">
        <v>550.43343562813607</v>
      </c>
      <c r="C91" s="15">
        <v>2.0007475079181978</v>
      </c>
      <c r="E91" s="8"/>
      <c r="I91" s="11"/>
    </row>
    <row r="92" spans="1:9">
      <c r="A92" s="8" t="s">
        <v>152</v>
      </c>
      <c r="B92" s="11">
        <v>23363.996725249664</v>
      </c>
      <c r="C92" s="15">
        <v>4.0317291273066225</v>
      </c>
      <c r="E92" s="8"/>
      <c r="I92" s="11"/>
    </row>
    <row r="93" spans="1:9">
      <c r="A93" s="8" t="s">
        <v>130</v>
      </c>
      <c r="B93" s="11">
        <v>28648.833788184769</v>
      </c>
      <c r="C93" s="15">
        <v>4.0389061214629089</v>
      </c>
      <c r="E93" s="8"/>
      <c r="I93" s="11"/>
    </row>
    <row r="94" spans="1:9">
      <c r="A94" s="8" t="s">
        <v>154</v>
      </c>
      <c r="B94" s="11">
        <v>30035.976392054657</v>
      </c>
      <c r="C94" s="15">
        <v>4.0407899097885194</v>
      </c>
      <c r="E94" s="8"/>
      <c r="I94" s="11"/>
    </row>
    <row r="95" spans="1:9">
      <c r="A95" s="8" t="s">
        <v>186</v>
      </c>
      <c r="B95" s="11">
        <v>489.52597289722308</v>
      </c>
      <c r="C95" s="15">
        <v>2.000664793446798</v>
      </c>
      <c r="E95" s="8"/>
      <c r="I95" s="11"/>
    </row>
    <row r="96" spans="1:9">
      <c r="A96" s="8" t="s">
        <v>150</v>
      </c>
      <c r="B96" s="11">
        <v>10867.116290082728</v>
      </c>
      <c r="C96" s="15">
        <v>4.0147579252076877</v>
      </c>
      <c r="E96" s="8"/>
      <c r="I96" s="11"/>
    </row>
    <row r="97" spans="1:9" s="9" customFormat="1">
      <c r="A97" s="9" t="s">
        <v>216</v>
      </c>
      <c r="B97" s="10">
        <v>9328.4832000000006</v>
      </c>
      <c r="C97" s="9">
        <v>2.0013751793232699</v>
      </c>
      <c r="I97" s="10"/>
    </row>
    <row r="98" spans="1:9" s="9" customFormat="1">
      <c r="A98" s="9" t="s">
        <v>56</v>
      </c>
      <c r="B98" s="10">
        <v>9214.0061540000006</v>
      </c>
      <c r="C98" s="9">
        <v>2.0037117932327799</v>
      </c>
      <c r="I98" s="10"/>
    </row>
    <row r="99" spans="1:9" s="9" customFormat="1">
      <c r="A99" s="9" t="s">
        <v>217</v>
      </c>
      <c r="B99" s="10">
        <v>12486.374400000001</v>
      </c>
      <c r="C99" s="9">
        <v>5</v>
      </c>
      <c r="I99" s="10"/>
    </row>
    <row r="100" spans="1:9" s="17" customFormat="1">
      <c r="A100" s="17" t="s">
        <v>218</v>
      </c>
      <c r="B100" s="18">
        <v>10000</v>
      </c>
      <c r="C100" s="17">
        <v>5</v>
      </c>
      <c r="I100" s="18"/>
    </row>
    <row r="101" spans="1:9" s="17" customFormat="1">
      <c r="A101" s="17" t="s">
        <v>219</v>
      </c>
      <c r="B101" s="18">
        <v>13694.09455</v>
      </c>
      <c r="C101" s="17">
        <v>2.0053751793232699</v>
      </c>
      <c r="I101" s="18"/>
    </row>
    <row r="102" spans="1:9">
      <c r="E102" s="8"/>
      <c r="I102" s="11"/>
    </row>
    <row r="103" spans="1:9">
      <c r="E103" s="8"/>
      <c r="I103" s="11"/>
    </row>
    <row r="104" spans="1:9">
      <c r="E104" s="8"/>
      <c r="I104" s="11"/>
    </row>
    <row r="105" spans="1:9">
      <c r="E105" s="8"/>
      <c r="I105" s="11"/>
    </row>
    <row r="106" spans="1:9">
      <c r="E106" s="8"/>
      <c r="I106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1236-C9C1-4444-8FD5-DB967139A16B}">
  <dimension ref="A1:R102"/>
  <sheetViews>
    <sheetView topLeftCell="A91" workbookViewId="0">
      <selection activeCell="C96" sqref="C96"/>
    </sheetView>
  </sheetViews>
  <sheetFormatPr defaultRowHeight="15"/>
  <cols>
    <col min="1" max="1" width="22" bestFit="1" customWidth="1"/>
    <col min="2" max="2" width="20.7109375" bestFit="1" customWidth="1"/>
    <col min="3" max="3" width="24" bestFit="1" customWidth="1"/>
    <col min="7" max="7" width="22" bestFit="1" customWidth="1"/>
    <col min="12" max="12" width="22" bestFit="1" customWidth="1"/>
  </cols>
  <sheetData>
    <row r="1" spans="1:18">
      <c r="A1" t="s">
        <v>0</v>
      </c>
      <c r="B1" t="s">
        <v>214</v>
      </c>
      <c r="C1" t="s">
        <v>215</v>
      </c>
      <c r="G1" t="s">
        <v>220</v>
      </c>
      <c r="H1">
        <v>95</v>
      </c>
      <c r="L1" t="s">
        <v>221</v>
      </c>
      <c r="M1">
        <v>99</v>
      </c>
      <c r="Q1" t="s">
        <v>222</v>
      </c>
      <c r="R1">
        <v>89</v>
      </c>
    </row>
    <row r="2" spans="1:18">
      <c r="A2" t="s">
        <v>30</v>
      </c>
      <c r="B2">
        <v>1703</v>
      </c>
      <c r="C2">
        <v>2.0024853513130916</v>
      </c>
      <c r="G2" t="s">
        <v>0</v>
      </c>
      <c r="L2" s="1" t="s">
        <v>0</v>
      </c>
      <c r="Q2" t="s">
        <v>0</v>
      </c>
    </row>
    <row r="3" spans="1:18">
      <c r="A3" t="s">
        <v>18</v>
      </c>
      <c r="B3">
        <v>5668</v>
      </c>
      <c r="C3">
        <v>2.0082718562786863</v>
      </c>
      <c r="G3" t="s">
        <v>30</v>
      </c>
      <c r="L3" s="1" t="s">
        <v>6</v>
      </c>
      <c r="M3" t="str">
        <f>VLOOKUP(L3,$A$2:$A$96,1,0)</f>
        <v>1225221715115SSTL0</v>
      </c>
      <c r="Q3" t="s">
        <v>154</v>
      </c>
    </row>
    <row r="4" spans="1:18">
      <c r="A4" t="s">
        <v>58</v>
      </c>
      <c r="B4">
        <v>1941</v>
      </c>
      <c r="C4">
        <v>4.0005837583824055</v>
      </c>
      <c r="G4" t="s">
        <v>18</v>
      </c>
      <c r="L4" s="1" t="s">
        <v>10</v>
      </c>
      <c r="M4" t="str">
        <f t="shared" ref="M4:M67" si="0">VLOOKUP(L4,$A$2:$A$96,1,0)</f>
        <v>1225121Z14112LSTL0</v>
      </c>
      <c r="Q4" t="s">
        <v>150</v>
      </c>
    </row>
    <row r="5" spans="1:18">
      <c r="A5" t="s">
        <v>10</v>
      </c>
      <c r="B5">
        <v>1802</v>
      </c>
      <c r="C5">
        <v>2.0026298315127367</v>
      </c>
      <c r="G5" t="s">
        <v>58</v>
      </c>
      <c r="L5" s="1" t="s">
        <v>12</v>
      </c>
      <c r="M5" t="str">
        <f t="shared" si="0"/>
        <v>1325221715100SRHT0</v>
      </c>
      <c r="Q5" t="s">
        <v>10</v>
      </c>
    </row>
    <row r="6" spans="1:18">
      <c r="A6" t="s">
        <v>68</v>
      </c>
      <c r="B6">
        <v>6500</v>
      </c>
      <c r="C6">
        <v>4.0094860737140898</v>
      </c>
      <c r="G6" t="s">
        <v>10</v>
      </c>
      <c r="L6" s="1" t="s">
        <v>14</v>
      </c>
      <c r="M6" t="str">
        <f t="shared" si="0"/>
        <v>1325217514082TUTR0</v>
      </c>
      <c r="Q6" t="s">
        <v>184</v>
      </c>
    </row>
    <row r="7" spans="1:18">
      <c r="A7" t="s">
        <v>84</v>
      </c>
      <c r="B7">
        <v>58111</v>
      </c>
      <c r="C7">
        <v>4.0255394292302418</v>
      </c>
      <c r="G7" t="s">
        <v>68</v>
      </c>
      <c r="L7" s="1" t="s">
        <v>16</v>
      </c>
      <c r="M7" t="str">
        <f t="shared" si="0"/>
        <v>1325223616105HRHT0</v>
      </c>
      <c r="Q7" t="s">
        <v>80</v>
      </c>
    </row>
    <row r="8" spans="1:18">
      <c r="A8" t="s">
        <v>189</v>
      </c>
      <c r="B8">
        <v>163</v>
      </c>
      <c r="C8">
        <v>3.0002378815408304</v>
      </c>
      <c r="G8" t="s">
        <v>84</v>
      </c>
      <c r="L8" s="1" t="s">
        <v>18</v>
      </c>
      <c r="M8" t="str">
        <f t="shared" si="0"/>
        <v>1225121715115SSTL0</v>
      </c>
      <c r="Q8" t="s">
        <v>46</v>
      </c>
    </row>
    <row r="9" spans="1:18">
      <c r="A9" t="s">
        <v>208</v>
      </c>
      <c r="B9">
        <v>300</v>
      </c>
      <c r="C9">
        <v>3.0004378187868039</v>
      </c>
      <c r="G9" t="s">
        <v>189</v>
      </c>
      <c r="L9" s="1" t="s">
        <v>20</v>
      </c>
      <c r="M9" t="str">
        <f t="shared" si="0"/>
        <v>1325121715100SRBT0</v>
      </c>
      <c r="Q9" t="s">
        <v>22</v>
      </c>
    </row>
    <row r="10" spans="1:18">
      <c r="A10" t="s">
        <v>102</v>
      </c>
      <c r="B10">
        <v>2900</v>
      </c>
      <c r="C10">
        <v>2.00423224827244</v>
      </c>
      <c r="G10" t="s">
        <v>208</v>
      </c>
      <c r="L10" s="1" t="s">
        <v>22</v>
      </c>
      <c r="M10" t="str">
        <f t="shared" si="0"/>
        <v>1325119015008SRBT0</v>
      </c>
      <c r="Q10" t="s">
        <v>186</v>
      </c>
    </row>
    <row r="11" spans="1:18">
      <c r="A11" t="s">
        <v>205</v>
      </c>
      <c r="B11">
        <v>20</v>
      </c>
      <c r="C11">
        <v>3.0000291879191203</v>
      </c>
      <c r="G11" t="s">
        <v>102</v>
      </c>
      <c r="L11" s="1" t="s">
        <v>24</v>
      </c>
      <c r="M11" t="str">
        <f t="shared" si="0"/>
        <v>1325221715100SRXT0</v>
      </c>
      <c r="Q11" t="s">
        <v>136</v>
      </c>
    </row>
    <row r="12" spans="1:18">
      <c r="A12" t="s">
        <v>193</v>
      </c>
      <c r="B12">
        <v>615</v>
      </c>
      <c r="C12">
        <v>3.0008975285129487</v>
      </c>
      <c r="G12" t="s">
        <v>205</v>
      </c>
      <c r="L12" s="1" t="s">
        <v>26</v>
      </c>
      <c r="M12" t="str">
        <f t="shared" si="0"/>
        <v>1225222716121MXC11</v>
      </c>
      <c r="Q12" t="s">
        <v>102</v>
      </c>
    </row>
    <row r="13" spans="1:18">
      <c r="A13" t="s">
        <v>6</v>
      </c>
      <c r="B13">
        <v>17346</v>
      </c>
      <c r="C13">
        <v>4.0080266777580755</v>
      </c>
      <c r="G13" t="s">
        <v>193</v>
      </c>
      <c r="L13" s="1" t="s">
        <v>28</v>
      </c>
      <c r="M13" t="str">
        <f t="shared" si="0"/>
        <v>1325217415081HUTR0</v>
      </c>
      <c r="Q13" t="s">
        <v>178</v>
      </c>
    </row>
    <row r="14" spans="1:18">
      <c r="A14" t="s">
        <v>42</v>
      </c>
      <c r="B14">
        <v>1300</v>
      </c>
      <c r="C14">
        <v>4.0010215771692099</v>
      </c>
      <c r="G14" t="s">
        <v>6</v>
      </c>
      <c r="L14" s="1" t="s">
        <v>30</v>
      </c>
      <c r="M14" t="str">
        <f t="shared" si="0"/>
        <v>1225119015010QSTL0</v>
      </c>
      <c r="Q14" t="s">
        <v>6</v>
      </c>
    </row>
    <row r="15" spans="1:18">
      <c r="A15" t="s">
        <v>195</v>
      </c>
      <c r="B15">
        <v>93</v>
      </c>
      <c r="C15">
        <v>3.0001357238239095</v>
      </c>
      <c r="G15" t="s">
        <v>42</v>
      </c>
      <c r="L15" s="1" t="s">
        <v>32</v>
      </c>
      <c r="M15" t="str">
        <f t="shared" si="0"/>
        <v>1425118916008QRBT0</v>
      </c>
      <c r="Q15" t="s">
        <v>20</v>
      </c>
    </row>
    <row r="16" spans="1:18">
      <c r="A16" t="s">
        <v>26</v>
      </c>
      <c r="B16">
        <v>1079</v>
      </c>
      <c r="C16">
        <v>2.0015746882365391</v>
      </c>
      <c r="G16" t="s">
        <v>195</v>
      </c>
      <c r="L16" s="1" t="s">
        <v>34</v>
      </c>
      <c r="M16" t="str">
        <f t="shared" si="0"/>
        <v>1325216513077TUHL0</v>
      </c>
      <c r="Q16" t="s">
        <v>18</v>
      </c>
    </row>
    <row r="17" spans="1:17">
      <c r="A17" t="s">
        <v>144</v>
      </c>
      <c r="B17">
        <v>15631</v>
      </c>
      <c r="C17">
        <v>4.0094860737140898</v>
      </c>
      <c r="G17" t="s">
        <v>26</v>
      </c>
      <c r="L17" s="1" t="s">
        <v>36</v>
      </c>
      <c r="M17" t="str">
        <f t="shared" si="0"/>
        <v>1325214813075SUNE1</v>
      </c>
      <c r="Q17" t="s">
        <v>208</v>
      </c>
    </row>
    <row r="18" spans="1:17">
      <c r="A18" t="s">
        <v>40</v>
      </c>
      <c r="B18">
        <v>148</v>
      </c>
      <c r="C18">
        <v>2.00021599060149</v>
      </c>
      <c r="G18" t="s">
        <v>144</v>
      </c>
      <c r="L18" s="1" t="s">
        <v>40</v>
      </c>
      <c r="M18" t="str">
        <f t="shared" si="0"/>
        <v>1325114613071TTMX0</v>
      </c>
      <c r="Q18" t="s">
        <v>14</v>
      </c>
    </row>
    <row r="19" spans="1:17">
      <c r="A19" t="s">
        <v>164</v>
      </c>
      <c r="B19">
        <v>20000</v>
      </c>
      <c r="C19">
        <v>2.0291879191202762</v>
      </c>
      <c r="G19" t="s">
        <v>40</v>
      </c>
      <c r="L19" s="1" t="s">
        <v>42</v>
      </c>
      <c r="M19" t="str">
        <f t="shared" si="0"/>
        <v>1225221716010SXC10</v>
      </c>
      <c r="Q19" t="s">
        <v>48</v>
      </c>
    </row>
    <row r="20" spans="1:17">
      <c r="A20" t="s">
        <v>22</v>
      </c>
      <c r="B20">
        <v>8000</v>
      </c>
      <c r="C20">
        <v>2.0116751676481104</v>
      </c>
      <c r="G20" t="s">
        <v>164</v>
      </c>
      <c r="L20" s="1" t="s">
        <v>44</v>
      </c>
      <c r="M20" t="str">
        <f t="shared" si="0"/>
        <v>1325220516095HUTR0</v>
      </c>
      <c r="Q20" t="s">
        <v>191</v>
      </c>
    </row>
    <row r="21" spans="1:17">
      <c r="A21" t="s">
        <v>56</v>
      </c>
      <c r="B21">
        <v>8533</v>
      </c>
      <c r="C21">
        <v>4.0124048656261175</v>
      </c>
      <c r="G21" t="s">
        <v>22</v>
      </c>
      <c r="L21" s="1" t="s">
        <v>46</v>
      </c>
      <c r="M21" t="str">
        <f t="shared" si="0"/>
        <v>1325123715105SBRT0</v>
      </c>
      <c r="Q21" t="s">
        <v>30</v>
      </c>
    </row>
    <row r="22" spans="1:17">
      <c r="A22" t="s">
        <v>146</v>
      </c>
      <c r="B22">
        <v>6000</v>
      </c>
      <c r="C22">
        <v>2.0087563757360827</v>
      </c>
      <c r="G22" t="s">
        <v>56</v>
      </c>
      <c r="L22" s="1" t="s">
        <v>48</v>
      </c>
      <c r="M22" t="str">
        <f t="shared" si="0"/>
        <v>1325215813079STMX0</v>
      </c>
      <c r="Q22" t="s">
        <v>172</v>
      </c>
    </row>
    <row r="23" spans="1:17">
      <c r="A23" t="s">
        <v>20</v>
      </c>
      <c r="B23">
        <v>5000</v>
      </c>
      <c r="C23">
        <v>2.0072969797800688</v>
      </c>
      <c r="G23" t="s">
        <v>146</v>
      </c>
      <c r="L23" s="1" t="s">
        <v>50</v>
      </c>
      <c r="M23" t="str">
        <f t="shared" si="0"/>
        <v>1325221416095VURL0</v>
      </c>
      <c r="Q23" t="s">
        <v>170</v>
      </c>
    </row>
    <row r="24" spans="1:17">
      <c r="A24" t="s">
        <v>104</v>
      </c>
      <c r="B24">
        <v>5000</v>
      </c>
      <c r="C24">
        <v>2.0072969797800688</v>
      </c>
      <c r="G24" t="s">
        <v>20</v>
      </c>
      <c r="L24" s="1" t="s">
        <v>52</v>
      </c>
      <c r="M24" t="str">
        <f t="shared" si="0"/>
        <v>1325213612065SULX1</v>
      </c>
      <c r="Q24" t="s">
        <v>110</v>
      </c>
    </row>
    <row r="25" spans="1:17">
      <c r="A25" t="s">
        <v>108</v>
      </c>
      <c r="B25">
        <v>5000</v>
      </c>
      <c r="C25">
        <v>2.0072969797800688</v>
      </c>
      <c r="G25" t="s">
        <v>104</v>
      </c>
      <c r="L25" s="1" t="s">
        <v>54</v>
      </c>
      <c r="M25" t="str">
        <f t="shared" si="0"/>
        <v>1325221417100HURS0</v>
      </c>
      <c r="Q25" t="s">
        <v>144</v>
      </c>
    </row>
    <row r="26" spans="1:17">
      <c r="A26" t="s">
        <v>46</v>
      </c>
      <c r="B26">
        <v>8000</v>
      </c>
      <c r="C26">
        <v>2.0116751676481104</v>
      </c>
      <c r="G26" t="s">
        <v>108</v>
      </c>
      <c r="L26" s="1" t="s">
        <v>56</v>
      </c>
      <c r="M26" t="str">
        <f t="shared" si="0"/>
        <v>1325119815106QBRQ0</v>
      </c>
      <c r="Q26" t="s">
        <v>120</v>
      </c>
    </row>
    <row r="27" spans="1:17">
      <c r="A27" t="s">
        <v>134</v>
      </c>
      <c r="B27">
        <v>900</v>
      </c>
      <c r="C27">
        <v>2.0013134563604122</v>
      </c>
      <c r="G27" t="s">
        <v>46</v>
      </c>
      <c r="L27" s="1" t="s">
        <v>58</v>
      </c>
      <c r="M27" t="str">
        <f t="shared" si="0"/>
        <v>1225121716010SXC10</v>
      </c>
      <c r="Q27" t="s">
        <v>126</v>
      </c>
    </row>
    <row r="28" spans="1:17">
      <c r="A28" t="s">
        <v>52</v>
      </c>
      <c r="B28">
        <v>2190</v>
      </c>
      <c r="C28">
        <v>4</v>
      </c>
      <c r="G28" t="s">
        <v>134</v>
      </c>
      <c r="L28" s="1" t="s">
        <v>60</v>
      </c>
      <c r="M28" t="str">
        <f t="shared" si="0"/>
        <v>1325218515088TURL0</v>
      </c>
      <c r="Q28" t="s">
        <v>44</v>
      </c>
    </row>
    <row r="29" spans="1:17">
      <c r="A29" t="s">
        <v>178</v>
      </c>
      <c r="B29">
        <v>6300</v>
      </c>
      <c r="C29">
        <v>4.0091941945228866</v>
      </c>
      <c r="G29" t="s">
        <v>52</v>
      </c>
      <c r="L29" s="1" t="s">
        <v>62</v>
      </c>
      <c r="M29" t="e">
        <f t="shared" si="0"/>
        <v>#N/A</v>
      </c>
      <c r="Q29" t="s">
        <v>42</v>
      </c>
    </row>
    <row r="30" spans="1:17">
      <c r="A30" t="s">
        <v>160</v>
      </c>
      <c r="B30">
        <v>2914</v>
      </c>
      <c r="C30">
        <v>2.0042526798158242</v>
      </c>
      <c r="G30" t="s">
        <v>178</v>
      </c>
      <c r="L30" s="1" t="s">
        <v>64</v>
      </c>
      <c r="M30" t="str">
        <f t="shared" si="0"/>
        <v>1325221416095VURS0</v>
      </c>
      <c r="Q30" t="s">
        <v>24</v>
      </c>
    </row>
    <row r="31" spans="1:17">
      <c r="A31" t="s">
        <v>184</v>
      </c>
      <c r="B31">
        <v>25000</v>
      </c>
      <c r="C31">
        <v>2.036484898900345</v>
      </c>
      <c r="G31" t="s">
        <v>160</v>
      </c>
      <c r="L31" s="1" t="s">
        <v>66</v>
      </c>
      <c r="M31" t="str">
        <f t="shared" si="0"/>
        <v>1325216814085TURS0</v>
      </c>
      <c r="Q31" t="s">
        <v>16</v>
      </c>
    </row>
    <row r="32" spans="1:17">
      <c r="A32" t="s">
        <v>98</v>
      </c>
      <c r="B32">
        <v>3887</v>
      </c>
      <c r="C32">
        <v>2.0056726720810256</v>
      </c>
      <c r="G32" t="s">
        <v>184</v>
      </c>
      <c r="L32" s="1" t="s">
        <v>68</v>
      </c>
      <c r="M32" t="str">
        <f t="shared" si="0"/>
        <v>1225170015010LSTL0</v>
      </c>
      <c r="Q32" t="s">
        <v>78</v>
      </c>
    </row>
    <row r="33" spans="1:17">
      <c r="A33" t="s">
        <v>36</v>
      </c>
      <c r="B33">
        <v>55000</v>
      </c>
      <c r="C33">
        <v>4.0802667775807597</v>
      </c>
      <c r="G33" t="s">
        <v>98</v>
      </c>
      <c r="L33" s="1" t="s">
        <v>70</v>
      </c>
      <c r="M33" t="e">
        <f t="shared" si="0"/>
        <v>#N/A</v>
      </c>
      <c r="Q33" t="s">
        <v>58</v>
      </c>
    </row>
    <row r="34" spans="1:17">
      <c r="A34" t="s">
        <v>114</v>
      </c>
      <c r="B34">
        <v>6055</v>
      </c>
      <c r="C34">
        <v>2.0088366425136637</v>
      </c>
      <c r="G34" t="s">
        <v>36</v>
      </c>
      <c r="L34" s="1" t="s">
        <v>72</v>
      </c>
      <c r="M34" t="str">
        <f t="shared" si="0"/>
        <v>1325218515088TURS0</v>
      </c>
      <c r="Q34" t="s">
        <v>195</v>
      </c>
    </row>
    <row r="35" spans="1:17">
      <c r="A35" t="s">
        <v>156</v>
      </c>
      <c r="B35">
        <v>5000</v>
      </c>
      <c r="C35">
        <v>2.0072969797800688</v>
      </c>
      <c r="G35" t="s">
        <v>114</v>
      </c>
      <c r="L35" s="1" t="s">
        <v>74</v>
      </c>
      <c r="M35" t="str">
        <f t="shared" si="0"/>
        <v>1325222417099HURL0</v>
      </c>
      <c r="Q35" t="s">
        <v>174</v>
      </c>
    </row>
    <row r="36" spans="1:17">
      <c r="A36" t="s">
        <v>116</v>
      </c>
      <c r="B36">
        <v>9200</v>
      </c>
      <c r="C36">
        <v>2.013426442795327</v>
      </c>
      <c r="G36" t="s">
        <v>156</v>
      </c>
      <c r="L36" s="1" t="s">
        <v>76</v>
      </c>
      <c r="M36" t="str">
        <f t="shared" si="0"/>
        <v>1325218415084TTMX0</v>
      </c>
      <c r="Q36" t="s">
        <v>104</v>
      </c>
    </row>
    <row r="37" spans="1:17">
      <c r="A37" t="s">
        <v>48</v>
      </c>
      <c r="B37">
        <v>15030</v>
      </c>
      <c r="C37">
        <v>3.0000437818786803</v>
      </c>
      <c r="G37" t="s">
        <v>116</v>
      </c>
      <c r="L37" s="1" t="s">
        <v>78</v>
      </c>
      <c r="M37" t="str">
        <f t="shared" si="0"/>
        <v>1325223517104HRPG0</v>
      </c>
      <c r="Q37" t="s">
        <v>12</v>
      </c>
    </row>
    <row r="38" spans="1:17">
      <c r="A38" t="s">
        <v>80</v>
      </c>
      <c r="B38">
        <v>12000</v>
      </c>
      <c r="C38">
        <v>2.0175127514721658</v>
      </c>
      <c r="G38" t="s">
        <v>48</v>
      </c>
      <c r="L38" s="1" t="s">
        <v>80</v>
      </c>
      <c r="M38" t="str">
        <f t="shared" si="0"/>
        <v>1325215813079SUHL0</v>
      </c>
      <c r="Q38" t="s">
        <v>112</v>
      </c>
    </row>
    <row r="39" spans="1:17">
      <c r="A39" t="s">
        <v>34</v>
      </c>
      <c r="B39">
        <v>3005</v>
      </c>
      <c r="C39">
        <v>2.0043854848478215</v>
      </c>
      <c r="G39" t="s">
        <v>80</v>
      </c>
      <c r="L39" s="1" t="s">
        <v>82</v>
      </c>
      <c r="M39" t="str">
        <f t="shared" si="0"/>
        <v>1325223517104HRHT0</v>
      </c>
      <c r="Q39" t="s">
        <v>197</v>
      </c>
    </row>
    <row r="40" spans="1:17">
      <c r="A40" t="s">
        <v>128</v>
      </c>
      <c r="B40">
        <v>5418</v>
      </c>
      <c r="C40">
        <v>3.0001459395956012</v>
      </c>
      <c r="G40" t="s">
        <v>34</v>
      </c>
      <c r="L40" s="1" t="s">
        <v>84</v>
      </c>
      <c r="M40" t="str">
        <f t="shared" si="0"/>
        <v>1225170015012LSTL0</v>
      </c>
      <c r="Q40" t="s">
        <v>100</v>
      </c>
    </row>
    <row r="41" spans="1:17">
      <c r="A41" t="s">
        <v>88</v>
      </c>
      <c r="B41">
        <v>18000</v>
      </c>
      <c r="C41">
        <v>2.0262691272082485</v>
      </c>
      <c r="G41" t="s">
        <v>128</v>
      </c>
      <c r="L41" s="1" t="s">
        <v>86</v>
      </c>
      <c r="M41" t="str">
        <f t="shared" si="0"/>
        <v>1325218614088HURL0</v>
      </c>
      <c r="Q41" t="s">
        <v>86</v>
      </c>
    </row>
    <row r="42" spans="1:17">
      <c r="A42" t="s">
        <v>142</v>
      </c>
      <c r="B42">
        <v>5866</v>
      </c>
      <c r="C42">
        <v>2.0085608166779769</v>
      </c>
      <c r="G42" t="s">
        <v>88</v>
      </c>
      <c r="L42" s="1" t="s">
        <v>88</v>
      </c>
      <c r="M42" t="str">
        <f t="shared" si="0"/>
        <v>1325216614081STMX0</v>
      </c>
      <c r="Q42" t="s">
        <v>88</v>
      </c>
    </row>
    <row r="43" spans="1:17">
      <c r="A43" t="s">
        <v>172</v>
      </c>
      <c r="B43">
        <v>20000</v>
      </c>
      <c r="C43">
        <v>2.0291879191202762</v>
      </c>
      <c r="G43" t="s">
        <v>142</v>
      </c>
      <c r="L43" s="1" t="s">
        <v>90</v>
      </c>
      <c r="M43" t="str">
        <f t="shared" si="0"/>
        <v>1325217514082HURP0</v>
      </c>
      <c r="Q43" t="s">
        <v>34</v>
      </c>
    </row>
    <row r="44" spans="1:17">
      <c r="A44" t="s">
        <v>94</v>
      </c>
      <c r="B44">
        <v>5181</v>
      </c>
      <c r="C44">
        <v>2.0075611304481074</v>
      </c>
      <c r="G44" t="s">
        <v>172</v>
      </c>
      <c r="L44" s="1" t="s">
        <v>92</v>
      </c>
      <c r="M44" t="str">
        <f t="shared" si="0"/>
        <v>1325221317098VUX10</v>
      </c>
      <c r="Q44" t="s">
        <v>182</v>
      </c>
    </row>
    <row r="45" spans="1:17">
      <c r="A45" t="s">
        <v>106</v>
      </c>
      <c r="B45">
        <v>6853</v>
      </c>
      <c r="C45">
        <v>3.002539348963464</v>
      </c>
      <c r="G45" t="s">
        <v>94</v>
      </c>
      <c r="L45" s="1" t="s">
        <v>94</v>
      </c>
      <c r="M45" t="str">
        <f t="shared" si="0"/>
        <v>1325216814085SUTR0</v>
      </c>
      <c r="Q45" t="s">
        <v>132</v>
      </c>
    </row>
    <row r="46" spans="1:17">
      <c r="A46" t="s">
        <v>66</v>
      </c>
      <c r="B46">
        <v>300</v>
      </c>
      <c r="C46">
        <v>2.0004378187868039</v>
      </c>
      <c r="G46" t="s">
        <v>106</v>
      </c>
      <c r="L46" s="1" t="s">
        <v>96</v>
      </c>
      <c r="M46" t="str">
        <f t="shared" si="0"/>
        <v>1325217614084HURL1</v>
      </c>
      <c r="Q46" t="s">
        <v>205</v>
      </c>
    </row>
    <row r="47" spans="1:17">
      <c r="A47" t="s">
        <v>138</v>
      </c>
      <c r="B47">
        <v>5000</v>
      </c>
      <c r="C47">
        <v>2.0072969797800688</v>
      </c>
      <c r="G47" t="s">
        <v>66</v>
      </c>
      <c r="L47" s="1" t="s">
        <v>98</v>
      </c>
      <c r="M47" t="str">
        <f t="shared" si="0"/>
        <v>1325214813075STMX0</v>
      </c>
      <c r="Q47" t="s">
        <v>116</v>
      </c>
    </row>
    <row r="48" spans="1:17">
      <c r="A48" t="s">
        <v>28</v>
      </c>
      <c r="B48">
        <v>4000</v>
      </c>
      <c r="C48">
        <v>2.0058375838240554</v>
      </c>
      <c r="G48" t="s">
        <v>138</v>
      </c>
      <c r="L48" s="1" t="s">
        <v>100</v>
      </c>
      <c r="M48" t="str">
        <f t="shared" si="0"/>
        <v>1325226517112HRHT0</v>
      </c>
      <c r="Q48" t="s">
        <v>124</v>
      </c>
    </row>
    <row r="49" spans="1:17">
      <c r="A49" t="s">
        <v>90</v>
      </c>
      <c r="B49">
        <v>421</v>
      </c>
      <c r="C49">
        <v>2.0006144056974819</v>
      </c>
      <c r="G49" t="s">
        <v>28</v>
      </c>
      <c r="L49" s="1" t="s">
        <v>102</v>
      </c>
      <c r="M49" t="str">
        <f t="shared" si="0"/>
        <v>1225219015010QSTL0</v>
      </c>
      <c r="Q49" t="s">
        <v>128</v>
      </c>
    </row>
    <row r="50" spans="1:17">
      <c r="A50" t="s">
        <v>140</v>
      </c>
      <c r="B50">
        <v>6562</v>
      </c>
      <c r="C50">
        <v>3.0001021577169209</v>
      </c>
      <c r="G50" t="s">
        <v>90</v>
      </c>
      <c r="L50" s="1" t="s">
        <v>104</v>
      </c>
      <c r="M50" t="str">
        <f t="shared" si="0"/>
        <v>1325121715100SRXT0</v>
      </c>
      <c r="Q50" t="s">
        <v>106</v>
      </c>
    </row>
    <row r="51" spans="1:17">
      <c r="A51" t="s">
        <v>14</v>
      </c>
      <c r="B51">
        <v>5000</v>
      </c>
      <c r="C51">
        <v>2.0072969797800688</v>
      </c>
      <c r="G51" t="s">
        <v>140</v>
      </c>
      <c r="L51" s="1" t="s">
        <v>106</v>
      </c>
      <c r="M51" t="str">
        <f t="shared" si="0"/>
        <v>1325216814085TURL0</v>
      </c>
      <c r="Q51" t="s">
        <v>203</v>
      </c>
    </row>
    <row r="52" spans="1:17">
      <c r="A52" t="s">
        <v>162</v>
      </c>
      <c r="B52">
        <v>2253</v>
      </c>
      <c r="C52">
        <v>4.001198164079887</v>
      </c>
      <c r="G52" t="s">
        <v>14</v>
      </c>
      <c r="L52" s="1" t="s">
        <v>108</v>
      </c>
      <c r="M52" t="str">
        <f t="shared" si="0"/>
        <v>1325121715115SLTB0</v>
      </c>
      <c r="Q52" t="s">
        <v>96</v>
      </c>
    </row>
    <row r="53" spans="1:17">
      <c r="A53" t="s">
        <v>158</v>
      </c>
      <c r="B53">
        <v>148</v>
      </c>
      <c r="C53">
        <v>2.00021599060149</v>
      </c>
      <c r="G53" t="s">
        <v>162</v>
      </c>
      <c r="L53" s="1" t="s">
        <v>110</v>
      </c>
      <c r="M53" t="str">
        <f t="shared" si="0"/>
        <v>1325219316087VURP0</v>
      </c>
      <c r="Q53" t="s">
        <v>60</v>
      </c>
    </row>
    <row r="54" spans="1:17">
      <c r="A54" t="s">
        <v>201</v>
      </c>
      <c r="B54">
        <v>423</v>
      </c>
      <c r="C54">
        <v>3.0006173244893937</v>
      </c>
      <c r="G54" t="s">
        <v>158</v>
      </c>
      <c r="L54" s="1" t="s">
        <v>112</v>
      </c>
      <c r="M54" t="str">
        <f t="shared" si="0"/>
        <v>1325221417100HURL1</v>
      </c>
      <c r="Q54" t="s">
        <v>90</v>
      </c>
    </row>
    <row r="55" spans="1:17">
      <c r="A55" t="s">
        <v>96</v>
      </c>
      <c r="B55">
        <v>1379</v>
      </c>
      <c r="C55">
        <v>2.002012507023343</v>
      </c>
      <c r="G55" t="s">
        <v>201</v>
      </c>
      <c r="L55" s="1" t="s">
        <v>114</v>
      </c>
      <c r="M55" t="str">
        <f t="shared" si="0"/>
        <v>1325215513073TUHL0</v>
      </c>
      <c r="Q55" t="s">
        <v>168</v>
      </c>
    </row>
    <row r="56" spans="1:17">
      <c r="A56" t="s">
        <v>76</v>
      </c>
      <c r="B56">
        <v>1557</v>
      </c>
      <c r="C56">
        <v>2.0022722795035133</v>
      </c>
      <c r="G56" t="s">
        <v>96</v>
      </c>
      <c r="L56" s="1" t="s">
        <v>116</v>
      </c>
      <c r="M56" t="str">
        <f t="shared" si="0"/>
        <v>1325215613075TUHL0</v>
      </c>
      <c r="Q56" t="s">
        <v>199</v>
      </c>
    </row>
    <row r="57" spans="1:17">
      <c r="A57" t="s">
        <v>180</v>
      </c>
      <c r="B57">
        <v>22300</v>
      </c>
      <c r="C57">
        <v>3.0004378187868039</v>
      </c>
      <c r="G57" t="s">
        <v>76</v>
      </c>
      <c r="L57" s="1" t="s">
        <v>118</v>
      </c>
      <c r="M57" t="str">
        <f t="shared" si="0"/>
        <v>1325223715105SRXT0</v>
      </c>
      <c r="Q57" t="s">
        <v>158</v>
      </c>
    </row>
    <row r="58" spans="1:17">
      <c r="A58" t="s">
        <v>136</v>
      </c>
      <c r="B58">
        <v>456</v>
      </c>
      <c r="C58">
        <v>2.0006654845559422</v>
      </c>
      <c r="G58" t="s">
        <v>180</v>
      </c>
      <c r="L58" s="1" t="s">
        <v>120</v>
      </c>
      <c r="M58" t="str">
        <f t="shared" si="0"/>
        <v>1325219416089HRHE0</v>
      </c>
      <c r="Q58" t="s">
        <v>134</v>
      </c>
    </row>
    <row r="59" spans="1:17">
      <c r="A59" t="s">
        <v>122</v>
      </c>
      <c r="B59">
        <v>4924</v>
      </c>
      <c r="C59">
        <v>2.0071860656874119</v>
      </c>
      <c r="G59" t="s">
        <v>136</v>
      </c>
      <c r="L59" s="1" t="s">
        <v>122</v>
      </c>
      <c r="M59" t="str">
        <f t="shared" si="0"/>
        <v>1325218515088HUTR0</v>
      </c>
      <c r="Q59" t="s">
        <v>118</v>
      </c>
    </row>
    <row r="60" spans="1:17">
      <c r="A60" t="s">
        <v>60</v>
      </c>
      <c r="B60">
        <v>2136</v>
      </c>
      <c r="C60">
        <v>2.0031172697620456</v>
      </c>
      <c r="G60" t="s">
        <v>122</v>
      </c>
      <c r="L60" s="1" t="s">
        <v>124</v>
      </c>
      <c r="M60" t="str">
        <f t="shared" si="0"/>
        <v>1325220316091VURL1</v>
      </c>
      <c r="Q60" t="s">
        <v>98</v>
      </c>
    </row>
    <row r="61" spans="1:17">
      <c r="A61" t="s">
        <v>72</v>
      </c>
      <c r="B61">
        <v>300</v>
      </c>
      <c r="C61">
        <v>2.0004378187868039</v>
      </c>
      <c r="G61" t="s">
        <v>60</v>
      </c>
      <c r="L61" s="1" t="s">
        <v>126</v>
      </c>
      <c r="M61" t="str">
        <f t="shared" si="0"/>
        <v>1325220515094VUTR0</v>
      </c>
      <c r="Q61" t="s">
        <v>74</v>
      </c>
    </row>
    <row r="62" spans="1:17">
      <c r="A62" t="s">
        <v>86</v>
      </c>
      <c r="B62">
        <v>3426</v>
      </c>
      <c r="C62">
        <v>3.0002918791912028</v>
      </c>
      <c r="G62" t="s">
        <v>72</v>
      </c>
      <c r="L62" s="1" t="s">
        <v>128</v>
      </c>
      <c r="M62" t="str">
        <f t="shared" si="0"/>
        <v>1325216514079TTMX0</v>
      </c>
      <c r="Q62" t="s">
        <v>189</v>
      </c>
    </row>
    <row r="63" spans="1:17">
      <c r="A63" t="s">
        <v>182</v>
      </c>
      <c r="B63">
        <v>8000</v>
      </c>
      <c r="C63">
        <v>2.0116751676481104</v>
      </c>
      <c r="G63" t="s">
        <v>86</v>
      </c>
      <c r="L63" s="1" t="s">
        <v>130</v>
      </c>
      <c r="M63" t="str">
        <f t="shared" si="0"/>
        <v>1D25212812086FXPC0</v>
      </c>
      <c r="Q63" t="s">
        <v>156</v>
      </c>
    </row>
    <row r="64" spans="1:17">
      <c r="A64" t="s">
        <v>110</v>
      </c>
      <c r="B64">
        <v>609</v>
      </c>
      <c r="C64">
        <v>2.0008887721372126</v>
      </c>
      <c r="G64" t="s">
        <v>182</v>
      </c>
      <c r="L64" s="1" t="s">
        <v>132</v>
      </c>
      <c r="M64" t="str">
        <f t="shared" si="0"/>
        <v>1325219316087VUTR0</v>
      </c>
      <c r="Q64" t="s">
        <v>122</v>
      </c>
    </row>
    <row r="65" spans="1:17">
      <c r="A65" t="s">
        <v>132</v>
      </c>
      <c r="B65">
        <v>7000</v>
      </c>
      <c r="C65">
        <v>2.0102157716920965</v>
      </c>
      <c r="G65" t="s">
        <v>110</v>
      </c>
      <c r="L65" s="1" t="s">
        <v>134</v>
      </c>
      <c r="M65" t="str">
        <f t="shared" si="0"/>
        <v>1325123715105SRXT0</v>
      </c>
      <c r="Q65" t="s">
        <v>193</v>
      </c>
    </row>
    <row r="66" spans="1:17">
      <c r="A66" t="s">
        <v>120</v>
      </c>
      <c r="B66">
        <v>17024</v>
      </c>
      <c r="C66">
        <v>4.0102157716920965</v>
      </c>
      <c r="G66" t="s">
        <v>132</v>
      </c>
      <c r="L66" s="1" t="s">
        <v>136</v>
      </c>
      <c r="M66" t="str">
        <f t="shared" si="0"/>
        <v>1325218515088HURP0</v>
      </c>
      <c r="Q66" t="s">
        <v>36</v>
      </c>
    </row>
    <row r="67" spans="1:17">
      <c r="A67" t="s">
        <v>124</v>
      </c>
      <c r="B67">
        <v>2004</v>
      </c>
      <c r="C67">
        <v>2.0029246294958516</v>
      </c>
      <c r="G67" t="s">
        <v>120</v>
      </c>
      <c r="L67" s="1" t="s">
        <v>138</v>
      </c>
      <c r="M67" t="str">
        <f t="shared" si="0"/>
        <v>1325217413077TUSP0</v>
      </c>
      <c r="Q67" t="s">
        <v>140</v>
      </c>
    </row>
    <row r="68" spans="1:17">
      <c r="A68" t="s">
        <v>174</v>
      </c>
      <c r="B68">
        <v>558</v>
      </c>
      <c r="C68">
        <v>2.0008143429434555</v>
      </c>
      <c r="G68" t="s">
        <v>124</v>
      </c>
      <c r="L68" s="1" t="s">
        <v>140</v>
      </c>
      <c r="M68" t="str">
        <f t="shared" ref="M68:M101" si="1">VLOOKUP(L68,$A$2:$A$96,1,0)</f>
        <v>1325217514082TTMX0</v>
      </c>
      <c r="Q68" t="s">
        <v>50</v>
      </c>
    </row>
    <row r="69" spans="1:17">
      <c r="A69" t="s">
        <v>199</v>
      </c>
      <c r="B69">
        <v>11</v>
      </c>
      <c r="C69">
        <v>3.000016053355516</v>
      </c>
      <c r="G69" t="s">
        <v>174</v>
      </c>
      <c r="L69" s="1" t="s">
        <v>142</v>
      </c>
      <c r="M69" t="str">
        <f t="shared" si="1"/>
        <v>1325216614081SUTR0</v>
      </c>
      <c r="Q69" t="s">
        <v>76</v>
      </c>
    </row>
    <row r="70" spans="1:17">
      <c r="A70" t="s">
        <v>170</v>
      </c>
      <c r="B70">
        <v>2261</v>
      </c>
      <c r="C70">
        <v>3.0001459395956012</v>
      </c>
      <c r="G70" t="s">
        <v>199</v>
      </c>
      <c r="L70" s="1" t="s">
        <v>144</v>
      </c>
      <c r="M70" t="str">
        <f t="shared" si="1"/>
        <v>1225223516121PSKP0</v>
      </c>
      <c r="Q70" t="s">
        <v>28</v>
      </c>
    </row>
    <row r="71" spans="1:17">
      <c r="A71" t="s">
        <v>191</v>
      </c>
      <c r="B71">
        <v>93</v>
      </c>
      <c r="C71">
        <v>3.0001357238239095</v>
      </c>
      <c r="G71" t="s">
        <v>170</v>
      </c>
      <c r="L71" s="1" t="s">
        <v>146</v>
      </c>
      <c r="M71" t="str">
        <f t="shared" si="1"/>
        <v>1325121715100SBRT0</v>
      </c>
      <c r="Q71" t="s">
        <v>114</v>
      </c>
    </row>
    <row r="72" spans="1:17">
      <c r="A72" t="s">
        <v>126</v>
      </c>
      <c r="B72">
        <v>6098</v>
      </c>
      <c r="C72">
        <v>2.0088993965397721</v>
      </c>
      <c r="G72" t="s">
        <v>191</v>
      </c>
      <c r="L72" s="1" t="s">
        <v>148</v>
      </c>
      <c r="M72" t="e">
        <f t="shared" si="1"/>
        <v>#N/A</v>
      </c>
      <c r="Q72" t="s">
        <v>142</v>
      </c>
    </row>
    <row r="73" spans="1:17">
      <c r="A73" t="s">
        <v>168</v>
      </c>
      <c r="B73">
        <v>2619</v>
      </c>
      <c r="C73">
        <v>3.0000729697978006</v>
      </c>
      <c r="G73" t="s">
        <v>126</v>
      </c>
      <c r="L73" s="1" t="s">
        <v>150</v>
      </c>
      <c r="M73" t="str">
        <f t="shared" si="1"/>
        <v>1D25215Z13008QXPC0</v>
      </c>
      <c r="Q73" t="s">
        <v>166</v>
      </c>
    </row>
    <row r="74" spans="1:17">
      <c r="A74" t="s">
        <v>44</v>
      </c>
      <c r="B74">
        <v>8000</v>
      </c>
      <c r="C74">
        <v>2.0116751676481104</v>
      </c>
      <c r="G74" t="s">
        <v>168</v>
      </c>
      <c r="L74" s="1" t="s">
        <v>152</v>
      </c>
      <c r="M74" t="str">
        <f t="shared" si="1"/>
        <v>1D25212812074FXC10</v>
      </c>
      <c r="Q74" t="s">
        <v>201</v>
      </c>
    </row>
    <row r="75" spans="1:17">
      <c r="A75" t="s">
        <v>92</v>
      </c>
      <c r="B75">
        <v>4</v>
      </c>
      <c r="C75">
        <v>2.0000058375838239</v>
      </c>
      <c r="G75" t="s">
        <v>44</v>
      </c>
      <c r="L75" s="1" t="s">
        <v>154</v>
      </c>
      <c r="M75" t="str">
        <f t="shared" si="1"/>
        <v>1D25213812090FXPC0</v>
      </c>
      <c r="Q75" t="s">
        <v>160</v>
      </c>
    </row>
    <row r="76" spans="1:17">
      <c r="A76" t="s">
        <v>50</v>
      </c>
      <c r="B76">
        <v>15005</v>
      </c>
      <c r="C76">
        <v>3.00000729697978</v>
      </c>
      <c r="G76" t="s">
        <v>92</v>
      </c>
      <c r="L76" s="1" t="s">
        <v>156</v>
      </c>
      <c r="M76" t="str">
        <f t="shared" si="1"/>
        <v>1325215613075TTMX0</v>
      </c>
      <c r="Q76" t="s">
        <v>56</v>
      </c>
    </row>
    <row r="77" spans="1:17">
      <c r="A77" t="s">
        <v>64</v>
      </c>
      <c r="B77">
        <v>300</v>
      </c>
      <c r="C77">
        <v>2.0004378187868039</v>
      </c>
      <c r="G77" t="s">
        <v>50</v>
      </c>
      <c r="L77" s="1" t="s">
        <v>158</v>
      </c>
      <c r="M77" t="str">
        <f t="shared" si="1"/>
        <v>1325217515084HURP0</v>
      </c>
      <c r="Q77" t="s">
        <v>130</v>
      </c>
    </row>
    <row r="78" spans="1:17">
      <c r="A78" t="s">
        <v>112</v>
      </c>
      <c r="B78">
        <v>18000</v>
      </c>
      <c r="C78">
        <v>2.0262691272082485</v>
      </c>
      <c r="G78" t="s">
        <v>64</v>
      </c>
      <c r="L78" s="1" t="s">
        <v>160</v>
      </c>
      <c r="M78" t="str">
        <f t="shared" si="1"/>
        <v>1325214613071TTMX0</v>
      </c>
      <c r="Q78" t="s">
        <v>162</v>
      </c>
    </row>
    <row r="79" spans="1:17">
      <c r="A79" t="s">
        <v>54</v>
      </c>
      <c r="B79">
        <v>300</v>
      </c>
      <c r="C79">
        <v>2.0004378187868039</v>
      </c>
      <c r="G79" t="s">
        <v>112</v>
      </c>
      <c r="L79" s="1" t="s">
        <v>162</v>
      </c>
      <c r="M79" t="str">
        <f t="shared" si="1"/>
        <v>1325217514082TVECH</v>
      </c>
      <c r="Q79" t="s">
        <v>84</v>
      </c>
    </row>
    <row r="80" spans="1:17">
      <c r="A80" t="s">
        <v>12</v>
      </c>
      <c r="B80">
        <v>20000</v>
      </c>
      <c r="C80">
        <v>2.0291879191202762</v>
      </c>
      <c r="G80" t="s">
        <v>54</v>
      </c>
      <c r="L80" s="1" t="s">
        <v>164</v>
      </c>
      <c r="M80" t="str">
        <f t="shared" si="1"/>
        <v>1325114812074TUHL0</v>
      </c>
      <c r="Q80" t="s">
        <v>108</v>
      </c>
    </row>
    <row r="81" spans="1:17">
      <c r="A81" t="s">
        <v>24</v>
      </c>
      <c r="B81">
        <v>4000</v>
      </c>
      <c r="C81">
        <v>2.0058375838240554</v>
      </c>
      <c r="G81" t="s">
        <v>12</v>
      </c>
      <c r="L81" s="1" t="s">
        <v>166</v>
      </c>
      <c r="M81" t="str">
        <f t="shared" si="1"/>
        <v>1D25115013008QXPC0</v>
      </c>
      <c r="Q81" t="s">
        <v>32</v>
      </c>
    </row>
    <row r="82" spans="1:17">
      <c r="A82" t="s">
        <v>203</v>
      </c>
      <c r="B82">
        <v>172</v>
      </c>
      <c r="C82">
        <v>3.000232043957006</v>
      </c>
      <c r="G82" t="s">
        <v>24</v>
      </c>
      <c r="L82" s="1" t="s">
        <v>168</v>
      </c>
      <c r="M82" t="str">
        <f t="shared" si="1"/>
        <v>1325220516095HTMX0</v>
      </c>
      <c r="Q82" t="s">
        <v>146</v>
      </c>
    </row>
    <row r="83" spans="1:17">
      <c r="A83" t="s">
        <v>74</v>
      </c>
      <c r="B83">
        <v>2059</v>
      </c>
      <c r="C83">
        <v>3.0000437818786803</v>
      </c>
      <c r="G83" t="s">
        <v>203</v>
      </c>
      <c r="L83" s="1" t="s">
        <v>170</v>
      </c>
      <c r="M83" t="str">
        <f t="shared" si="1"/>
        <v>1325220515094VTMX0</v>
      </c>
      <c r="Q83" t="s">
        <v>52</v>
      </c>
    </row>
    <row r="84" spans="1:17">
      <c r="A84" t="s">
        <v>82</v>
      </c>
      <c r="B84">
        <v>8030</v>
      </c>
      <c r="C84">
        <v>3.0000437818786803</v>
      </c>
      <c r="G84" t="s">
        <v>74</v>
      </c>
      <c r="L84" s="1" t="s">
        <v>172</v>
      </c>
      <c r="M84" t="str">
        <f t="shared" si="1"/>
        <v>1325216814085STMX0</v>
      </c>
      <c r="Q84" t="s">
        <v>138</v>
      </c>
    </row>
    <row r="85" spans="1:17">
      <c r="A85" t="s">
        <v>78</v>
      </c>
      <c r="B85">
        <v>579</v>
      </c>
      <c r="C85">
        <v>2.0008449902585319</v>
      </c>
      <c r="G85" t="s">
        <v>82</v>
      </c>
      <c r="L85" s="1" t="s">
        <v>174</v>
      </c>
      <c r="M85" t="str">
        <f t="shared" si="1"/>
        <v>1325220416092VURL0</v>
      </c>
      <c r="Q85" t="s">
        <v>68</v>
      </c>
    </row>
    <row r="86" spans="1:17">
      <c r="A86" t="s">
        <v>16</v>
      </c>
      <c r="B86">
        <v>2847</v>
      </c>
      <c r="C86">
        <v>2.0041549002867711</v>
      </c>
      <c r="G86" t="s">
        <v>78</v>
      </c>
      <c r="L86" s="1" t="s">
        <v>176</v>
      </c>
      <c r="M86" t="e">
        <f t="shared" si="1"/>
        <v>#N/A</v>
      </c>
      <c r="Q86" t="s">
        <v>180</v>
      </c>
    </row>
    <row r="87" spans="1:17">
      <c r="A87" t="s">
        <v>118</v>
      </c>
      <c r="B87">
        <v>3256</v>
      </c>
      <c r="C87">
        <v>2.004751793232781</v>
      </c>
      <c r="G87" t="s">
        <v>16</v>
      </c>
      <c r="L87" s="1" t="s">
        <v>178</v>
      </c>
      <c r="M87" t="str">
        <f t="shared" si="1"/>
        <v>1325213615099MSXT0</v>
      </c>
      <c r="Q87" t="s">
        <v>82</v>
      </c>
    </row>
    <row r="88" spans="1:17">
      <c r="A88" t="s">
        <v>197</v>
      </c>
      <c r="B88">
        <v>1160</v>
      </c>
      <c r="C88">
        <v>3.001692899308976</v>
      </c>
      <c r="G88" t="s">
        <v>118</v>
      </c>
      <c r="L88" s="1" t="s">
        <v>180</v>
      </c>
      <c r="M88" t="str">
        <f t="shared" si="1"/>
        <v>1325218515088HTMX0</v>
      </c>
      <c r="Q88" t="s">
        <v>152</v>
      </c>
    </row>
    <row r="89" spans="1:17">
      <c r="A89" t="s">
        <v>100</v>
      </c>
      <c r="B89">
        <v>3077</v>
      </c>
      <c r="C89">
        <v>3.0009923892500896</v>
      </c>
      <c r="G89" t="s">
        <v>197</v>
      </c>
      <c r="L89" s="1" t="s">
        <v>182</v>
      </c>
      <c r="M89" t="str">
        <f t="shared" si="1"/>
        <v>1325219316087VURL0</v>
      </c>
      <c r="Q89" t="s">
        <v>164</v>
      </c>
    </row>
    <row r="90" spans="1:17">
      <c r="A90" t="s">
        <v>32</v>
      </c>
      <c r="B90">
        <v>9000</v>
      </c>
      <c r="C90">
        <v>2.0131345636041242</v>
      </c>
      <c r="G90" t="s">
        <v>100</v>
      </c>
      <c r="L90" s="1" t="s">
        <v>184</v>
      </c>
      <c r="M90" t="str">
        <f t="shared" si="1"/>
        <v>1325214812074TUHL0</v>
      </c>
    </row>
    <row r="91" spans="1:17">
      <c r="A91" t="s">
        <v>166</v>
      </c>
      <c r="B91">
        <v>548</v>
      </c>
      <c r="C91">
        <v>2.0007997489838956</v>
      </c>
      <c r="G91" t="s">
        <v>32</v>
      </c>
      <c r="L91" s="1" t="s">
        <v>186</v>
      </c>
      <c r="M91" t="str">
        <f t="shared" si="1"/>
        <v>1D25214012006QXC10</v>
      </c>
    </row>
    <row r="92" spans="1:17">
      <c r="A92" t="s">
        <v>152</v>
      </c>
      <c r="B92">
        <v>23400</v>
      </c>
      <c r="C92">
        <v>4.0341498653707228</v>
      </c>
      <c r="G92" t="s">
        <v>166</v>
      </c>
      <c r="L92" s="1" t="s">
        <v>189</v>
      </c>
      <c r="M92" t="str">
        <f t="shared" si="1"/>
        <v>1225175016012NJTL0</v>
      </c>
    </row>
    <row r="93" spans="1:17">
      <c r="A93" t="s">
        <v>130</v>
      </c>
      <c r="B93">
        <v>27500</v>
      </c>
      <c r="C93">
        <v>4.0401333887903794</v>
      </c>
      <c r="G93" t="s">
        <v>152</v>
      </c>
      <c r="L93" s="1" t="s">
        <v>191</v>
      </c>
      <c r="M93" t="str">
        <f t="shared" si="1"/>
        <v>1325220515094VURL1</v>
      </c>
    </row>
    <row r="94" spans="1:17">
      <c r="A94" t="s">
        <v>154</v>
      </c>
      <c r="B94">
        <v>30700</v>
      </c>
      <c r="C94">
        <v>4.0448034558496238</v>
      </c>
      <c r="G94" t="s">
        <v>130</v>
      </c>
      <c r="L94" s="1" t="s">
        <v>193</v>
      </c>
      <c r="M94" t="str">
        <f t="shared" si="1"/>
        <v>1225221615008QXC10</v>
      </c>
    </row>
    <row r="95" spans="1:17">
      <c r="A95" t="s">
        <v>186</v>
      </c>
      <c r="B95">
        <v>500</v>
      </c>
      <c r="C95">
        <v>2.0007296979780067</v>
      </c>
      <c r="G95" t="s">
        <v>154</v>
      </c>
      <c r="L95" s="1" t="s">
        <v>195</v>
      </c>
      <c r="M95" t="str">
        <f t="shared" si="1"/>
        <v>1225222615008RXC10</v>
      </c>
    </row>
    <row r="96" spans="1:17">
      <c r="A96" t="s">
        <v>150</v>
      </c>
      <c r="B96">
        <v>11264</v>
      </c>
      <c r="C96">
        <v>4.0072969797800688</v>
      </c>
      <c r="G96" t="s">
        <v>186</v>
      </c>
      <c r="L96" s="1" t="s">
        <v>197</v>
      </c>
      <c r="M96" t="str">
        <f t="shared" si="1"/>
        <v>1325223916120QRAB0</v>
      </c>
    </row>
    <row r="97" spans="1:13">
      <c r="A97" s="1" t="s">
        <v>62</v>
      </c>
      <c r="C97">
        <v>1</v>
      </c>
      <c r="G97" t="s">
        <v>150</v>
      </c>
      <c r="L97" s="1" t="s">
        <v>199</v>
      </c>
      <c r="M97" t="str">
        <f t="shared" si="1"/>
        <v>1325220416092VURP0</v>
      </c>
    </row>
    <row r="98" spans="1:13">
      <c r="A98" s="1" t="s">
        <v>70</v>
      </c>
      <c r="C98">
        <v>1</v>
      </c>
      <c r="L98" s="1" t="s">
        <v>201</v>
      </c>
      <c r="M98" t="str">
        <f t="shared" si="1"/>
        <v>1325217613082TUNE2</v>
      </c>
    </row>
    <row r="99" spans="1:13">
      <c r="A99" s="1" t="s">
        <v>148</v>
      </c>
      <c r="C99">
        <v>1</v>
      </c>
      <c r="L99" s="1" t="s">
        <v>203</v>
      </c>
      <c r="M99" t="str">
        <f t="shared" si="1"/>
        <v>1325222317101VUX10</v>
      </c>
    </row>
    <row r="100" spans="1:13">
      <c r="A100" s="1" t="s">
        <v>176</v>
      </c>
      <c r="C100">
        <v>1</v>
      </c>
      <c r="L100" s="1" t="s">
        <v>205</v>
      </c>
      <c r="M100" t="str">
        <f t="shared" si="1"/>
        <v>1225220Z16008RXC10</v>
      </c>
    </row>
    <row r="101" spans="1:13">
      <c r="B101">
        <f>SUM(B2:B96)</f>
        <v>685215</v>
      </c>
      <c r="L101" s="1" t="s">
        <v>208</v>
      </c>
      <c r="M101" t="str">
        <f t="shared" si="1"/>
        <v>1225219015008SLTB0</v>
      </c>
    </row>
    <row r="102" spans="1:13">
      <c r="B102">
        <f>B101/31</f>
        <v>22103.709677419356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E3BF-2420-4D76-ABA2-B31C4883FF1C}">
  <sheetPr filterMode="1"/>
  <dimension ref="A1:S134"/>
  <sheetViews>
    <sheetView workbookViewId="0">
      <selection activeCell="F2" sqref="F2"/>
    </sheetView>
  </sheetViews>
  <sheetFormatPr defaultRowHeight="15"/>
  <cols>
    <col min="1" max="1" width="22" bestFit="1" customWidth="1"/>
    <col min="2" max="2" width="45.140625" bestFit="1" customWidth="1"/>
    <col min="3" max="3" width="12.7109375" bestFit="1" customWidth="1"/>
    <col min="4" max="4" width="12.5703125" bestFit="1" customWidth="1"/>
    <col min="5" max="5" width="14.42578125" bestFit="1" customWidth="1"/>
    <col min="6" max="6" width="26.5703125" bestFit="1" customWidth="1"/>
    <col min="7" max="7" width="12.28515625" bestFit="1" customWidth="1"/>
  </cols>
  <sheetData>
    <row r="1" spans="1:19">
      <c r="A1" t="s">
        <v>0</v>
      </c>
      <c r="B1" s="3" t="s">
        <v>1</v>
      </c>
      <c r="C1" t="s">
        <v>3</v>
      </c>
      <c r="D1" s="1" t="s">
        <v>4</v>
      </c>
      <c r="E1" s="1" t="s">
        <v>2</v>
      </c>
      <c r="F1" s="4" t="s">
        <v>215</v>
      </c>
      <c r="H1" s="8"/>
      <c r="I1" s="5"/>
      <c r="J1" s="6"/>
      <c r="L1" s="4"/>
      <c r="O1" s="6"/>
      <c r="P1" s="6"/>
      <c r="Q1" s="6"/>
      <c r="R1" s="6"/>
      <c r="S1" s="6"/>
    </row>
    <row r="2" spans="1:19">
      <c r="A2" t="s">
        <v>6</v>
      </c>
      <c r="B2" s="3" t="s">
        <v>7</v>
      </c>
      <c r="C2" t="s">
        <v>8</v>
      </c>
      <c r="D2" s="1" t="s">
        <v>9</v>
      </c>
      <c r="E2" s="1">
        <v>11846</v>
      </c>
      <c r="F2">
        <f>IF(D2="Replacement", 2 + (E2/685215), IF(D2="OE", 4 + (E2/685215), IF(D2="ST", 1 + (E2/685215), IF(D2="Export", 3 + (E2/685215), ""))))</f>
        <v>2.0172880044949397</v>
      </c>
      <c r="H2" s="11"/>
    </row>
    <row r="3" spans="1:19">
      <c r="A3" t="s">
        <v>10</v>
      </c>
      <c r="B3" s="3" t="s">
        <v>11</v>
      </c>
      <c r="C3" t="s">
        <v>8</v>
      </c>
      <c r="D3" s="1" t="s">
        <v>9</v>
      </c>
      <c r="E3" s="1">
        <v>1802</v>
      </c>
      <c r="F3">
        <f t="shared" ref="F3:F27" si="0">IF(D3="Replacement", 2 + (E3/685215), IF(D3="OE", 4 + (E3/685215), IF(D3="ST", 1 + (E3/685215), IF(D3="Export", 3 + (E3/685215), ""))))</f>
        <v>2.0026298315127367</v>
      </c>
      <c r="H3" s="11"/>
    </row>
    <row r="4" spans="1:19">
      <c r="A4" t="s">
        <v>12</v>
      </c>
      <c r="B4" s="3" t="s">
        <v>13</v>
      </c>
      <c r="C4" t="s">
        <v>8</v>
      </c>
      <c r="D4" s="1" t="s">
        <v>9</v>
      </c>
      <c r="E4" s="1">
        <v>20000</v>
      </c>
      <c r="F4">
        <f t="shared" si="0"/>
        <v>2.0291879191202762</v>
      </c>
      <c r="H4" s="11"/>
    </row>
    <row r="5" spans="1:19">
      <c r="A5" t="s">
        <v>14</v>
      </c>
      <c r="B5" s="3" t="s">
        <v>15</v>
      </c>
      <c r="C5" t="s">
        <v>8</v>
      </c>
      <c r="D5" s="1" t="s">
        <v>9</v>
      </c>
      <c r="E5" s="1">
        <v>5000</v>
      </c>
      <c r="F5">
        <f t="shared" si="0"/>
        <v>2.0072969797800688</v>
      </c>
      <c r="H5" s="11"/>
    </row>
    <row r="6" spans="1:19">
      <c r="A6" t="s">
        <v>16</v>
      </c>
      <c r="B6" s="3" t="s">
        <v>17</v>
      </c>
      <c r="C6" t="s">
        <v>8</v>
      </c>
      <c r="D6" s="1" t="s">
        <v>9</v>
      </c>
      <c r="E6" s="1">
        <v>2847</v>
      </c>
      <c r="F6">
        <f t="shared" si="0"/>
        <v>2.0041549002867711</v>
      </c>
      <c r="H6" s="11"/>
    </row>
    <row r="7" spans="1:19">
      <c r="A7" t="s">
        <v>18</v>
      </c>
      <c r="B7" s="3" t="s">
        <v>19</v>
      </c>
      <c r="C7" t="s">
        <v>8</v>
      </c>
      <c r="D7" s="1" t="s">
        <v>9</v>
      </c>
      <c r="E7" s="1">
        <v>5668</v>
      </c>
      <c r="F7">
        <f t="shared" si="0"/>
        <v>2.0082718562786863</v>
      </c>
      <c r="H7" s="11"/>
    </row>
    <row r="8" spans="1:19">
      <c r="A8" t="s">
        <v>20</v>
      </c>
      <c r="B8" s="3" t="s">
        <v>21</v>
      </c>
      <c r="C8" t="s">
        <v>8</v>
      </c>
      <c r="D8" s="1" t="s">
        <v>9</v>
      </c>
      <c r="E8" s="1">
        <v>5000</v>
      </c>
      <c r="F8">
        <f t="shared" si="0"/>
        <v>2.0072969797800688</v>
      </c>
      <c r="H8" s="11"/>
    </row>
    <row r="9" spans="1:19">
      <c r="A9" t="s">
        <v>22</v>
      </c>
      <c r="B9" s="3" t="s">
        <v>23</v>
      </c>
      <c r="C9" t="s">
        <v>8</v>
      </c>
      <c r="D9" s="1" t="s">
        <v>9</v>
      </c>
      <c r="E9" s="1">
        <v>8000</v>
      </c>
      <c r="F9">
        <f t="shared" si="0"/>
        <v>2.0116751676481104</v>
      </c>
      <c r="H9" s="11"/>
    </row>
    <row r="10" spans="1:19">
      <c r="A10" t="s">
        <v>24</v>
      </c>
      <c r="B10" s="3" t="s">
        <v>25</v>
      </c>
      <c r="C10" t="s">
        <v>8</v>
      </c>
      <c r="D10" s="1" t="s">
        <v>9</v>
      </c>
      <c r="E10" s="1">
        <v>4000</v>
      </c>
      <c r="F10">
        <f t="shared" si="0"/>
        <v>2.0058375838240554</v>
      </c>
      <c r="H10" s="11"/>
    </row>
    <row r="11" spans="1:19">
      <c r="A11" t="s">
        <v>26</v>
      </c>
      <c r="B11" s="3" t="s">
        <v>27</v>
      </c>
      <c r="C11" t="s">
        <v>8</v>
      </c>
      <c r="D11" s="1" t="s">
        <v>9</v>
      </c>
      <c r="E11" s="1">
        <v>1079</v>
      </c>
      <c r="F11">
        <f t="shared" si="0"/>
        <v>2.0015746882365391</v>
      </c>
      <c r="H11" s="11"/>
    </row>
    <row r="12" spans="1:19">
      <c r="A12" t="s">
        <v>28</v>
      </c>
      <c r="B12" s="3" t="s">
        <v>29</v>
      </c>
      <c r="C12" t="s">
        <v>8</v>
      </c>
      <c r="D12" s="1" t="s">
        <v>9</v>
      </c>
      <c r="E12" s="1">
        <v>4000</v>
      </c>
      <c r="F12">
        <f t="shared" si="0"/>
        <v>2.0058375838240554</v>
      </c>
      <c r="H12" s="11"/>
    </row>
    <row r="13" spans="1:19">
      <c r="A13" t="s">
        <v>30</v>
      </c>
      <c r="B13" s="3" t="s">
        <v>31</v>
      </c>
      <c r="C13" t="s">
        <v>8</v>
      </c>
      <c r="D13" s="1" t="s">
        <v>9</v>
      </c>
      <c r="E13" s="1">
        <v>1703</v>
      </c>
      <c r="F13">
        <f t="shared" si="0"/>
        <v>2.0024853513130916</v>
      </c>
      <c r="H13" s="11"/>
    </row>
    <row r="14" spans="1:19">
      <c r="A14" t="s">
        <v>32</v>
      </c>
      <c r="B14" s="3" t="s">
        <v>33</v>
      </c>
      <c r="C14" t="s">
        <v>8</v>
      </c>
      <c r="D14" s="1" t="s">
        <v>9</v>
      </c>
      <c r="E14" s="1">
        <v>9000</v>
      </c>
      <c r="F14">
        <f t="shared" si="0"/>
        <v>2.0131345636041242</v>
      </c>
      <c r="H14" s="11"/>
    </row>
    <row r="15" spans="1:19">
      <c r="A15" t="s">
        <v>34</v>
      </c>
      <c r="B15" s="3" t="s">
        <v>35</v>
      </c>
      <c r="C15" t="s">
        <v>8</v>
      </c>
      <c r="D15" s="1" t="s">
        <v>9</v>
      </c>
      <c r="E15" s="1">
        <v>3005</v>
      </c>
      <c r="F15">
        <f t="shared" si="0"/>
        <v>2.0043854848478215</v>
      </c>
      <c r="H15" s="11"/>
    </row>
    <row r="16" spans="1:19">
      <c r="A16" t="s">
        <v>36</v>
      </c>
      <c r="B16" s="3" t="s">
        <v>37</v>
      </c>
      <c r="C16" t="s">
        <v>38</v>
      </c>
      <c r="D16" s="1" t="s">
        <v>39</v>
      </c>
      <c r="E16" s="1">
        <v>55000</v>
      </c>
      <c r="F16">
        <f t="shared" si="0"/>
        <v>4.0802667775807597</v>
      </c>
      <c r="H16" s="11"/>
    </row>
    <row r="17" spans="1:8">
      <c r="A17" t="s">
        <v>40</v>
      </c>
      <c r="B17" s="3" t="s">
        <v>41</v>
      </c>
      <c r="C17" t="s">
        <v>8</v>
      </c>
      <c r="D17" s="1" t="s">
        <v>9</v>
      </c>
      <c r="E17" s="1">
        <v>148</v>
      </c>
      <c r="F17">
        <f t="shared" si="0"/>
        <v>2.00021599060149</v>
      </c>
      <c r="H17" s="11"/>
    </row>
    <row r="18" spans="1:8">
      <c r="A18" t="s">
        <v>42</v>
      </c>
      <c r="B18" s="3" t="s">
        <v>43</v>
      </c>
      <c r="C18" t="s">
        <v>38</v>
      </c>
      <c r="D18" s="1" t="s">
        <v>39</v>
      </c>
      <c r="E18" s="1">
        <v>700</v>
      </c>
      <c r="F18">
        <f t="shared" si="0"/>
        <v>4.0010215771692099</v>
      </c>
      <c r="H18" s="11"/>
    </row>
    <row r="19" spans="1:8">
      <c r="A19" t="s">
        <v>44</v>
      </c>
      <c r="B19" s="3" t="s">
        <v>45</v>
      </c>
      <c r="C19" t="s">
        <v>8</v>
      </c>
      <c r="D19" s="1" t="s">
        <v>9</v>
      </c>
      <c r="E19" s="1">
        <v>8000</v>
      </c>
      <c r="F19">
        <f t="shared" si="0"/>
        <v>2.0116751676481104</v>
      </c>
      <c r="H19" s="11"/>
    </row>
    <row r="20" spans="1:8">
      <c r="A20" t="s">
        <v>46</v>
      </c>
      <c r="B20" s="3" t="s">
        <v>47</v>
      </c>
      <c r="C20" t="s">
        <v>8</v>
      </c>
      <c r="D20" s="1" t="s">
        <v>9</v>
      </c>
      <c r="E20" s="1">
        <v>8000</v>
      </c>
      <c r="F20">
        <f t="shared" si="0"/>
        <v>2.0116751676481104</v>
      </c>
      <c r="H20" s="11"/>
    </row>
    <row r="21" spans="1:8">
      <c r="A21" t="s">
        <v>48</v>
      </c>
      <c r="B21" s="3" t="s">
        <v>49</v>
      </c>
      <c r="C21" t="s">
        <v>8</v>
      </c>
      <c r="D21" s="1" t="s">
        <v>9</v>
      </c>
      <c r="E21" s="1">
        <v>15000</v>
      </c>
      <c r="F21">
        <f t="shared" si="0"/>
        <v>2.0218909393402069</v>
      </c>
      <c r="H21" s="11"/>
    </row>
    <row r="22" spans="1:8">
      <c r="A22" t="s">
        <v>50</v>
      </c>
      <c r="B22" s="3" t="s">
        <v>51</v>
      </c>
      <c r="C22" t="s">
        <v>8</v>
      </c>
      <c r="D22" s="1" t="s">
        <v>9</v>
      </c>
      <c r="E22" s="1">
        <v>15000</v>
      </c>
      <c r="F22">
        <f t="shared" si="0"/>
        <v>2.0218909393402069</v>
      </c>
      <c r="H22" s="11"/>
    </row>
    <row r="23" spans="1:8">
      <c r="A23" t="s">
        <v>52</v>
      </c>
      <c r="B23" s="3" t="s">
        <v>53</v>
      </c>
      <c r="C23" t="s">
        <v>8</v>
      </c>
      <c r="D23" s="1" t="s">
        <v>9</v>
      </c>
      <c r="E23" s="1">
        <v>752</v>
      </c>
      <c r="F23">
        <f t="shared" si="0"/>
        <v>2.0010974657589222</v>
      </c>
      <c r="H23" s="11"/>
    </row>
    <row r="24" spans="1:8">
      <c r="A24" t="s">
        <v>54</v>
      </c>
      <c r="B24" s="3" t="s">
        <v>55</v>
      </c>
      <c r="C24" t="s">
        <v>8</v>
      </c>
      <c r="D24" s="1" t="s">
        <v>9</v>
      </c>
      <c r="E24" s="1">
        <v>300</v>
      </c>
      <c r="F24">
        <f t="shared" si="0"/>
        <v>2.0004378187868039</v>
      </c>
      <c r="H24" s="11"/>
    </row>
    <row r="25" spans="1:8">
      <c r="A25" t="s">
        <v>56</v>
      </c>
      <c r="B25" s="3" t="s">
        <v>57</v>
      </c>
      <c r="C25" t="s">
        <v>38</v>
      </c>
      <c r="D25" s="1" t="s">
        <v>39</v>
      </c>
      <c r="E25" s="1">
        <v>8500</v>
      </c>
      <c r="F25">
        <f t="shared" si="0"/>
        <v>4.0124048656261175</v>
      </c>
      <c r="H25" s="11"/>
    </row>
    <row r="26" spans="1:8">
      <c r="A26" t="s">
        <v>58</v>
      </c>
      <c r="B26" s="3" t="s">
        <v>59</v>
      </c>
      <c r="C26" t="s">
        <v>38</v>
      </c>
      <c r="D26" s="1" t="s">
        <v>39</v>
      </c>
      <c r="E26" s="1">
        <v>400</v>
      </c>
      <c r="F26">
        <f t="shared" si="0"/>
        <v>4.0005837583824055</v>
      </c>
      <c r="H26" s="11"/>
    </row>
    <row r="27" spans="1:8">
      <c r="A27" t="s">
        <v>60</v>
      </c>
      <c r="B27" s="3" t="s">
        <v>61</v>
      </c>
      <c r="C27" t="s">
        <v>8</v>
      </c>
      <c r="D27" s="1" t="s">
        <v>9</v>
      </c>
      <c r="E27" s="1">
        <v>2136</v>
      </c>
      <c r="F27">
        <f t="shared" si="0"/>
        <v>2.0031172697620456</v>
      </c>
      <c r="H27" s="11"/>
    </row>
    <row r="28" spans="1:8" hidden="1">
      <c r="A28" t="s">
        <v>62</v>
      </c>
      <c r="B28" s="3" t="s">
        <v>63</v>
      </c>
      <c r="C28" t="s">
        <v>8</v>
      </c>
      <c r="D28" s="1" t="s">
        <v>9</v>
      </c>
      <c r="E28" s="1">
        <v>0</v>
      </c>
      <c r="F28">
        <f t="shared" ref="F3:F66" si="1">IF(D28="Replacement", 2 + (H28/685215), IF(D28="OE", 4 + (H28/685215), IF(D28="ST", 1 + (H28/685215), IF(D28="Export", 3 + (H28/685215), ""))))</f>
        <v>2.0031245035399312</v>
      </c>
      <c r="H28" s="11">
        <v>2140.9566931140234</v>
      </c>
    </row>
    <row r="29" spans="1:8">
      <c r="A29" t="s">
        <v>64</v>
      </c>
      <c r="B29" s="3" t="s">
        <v>65</v>
      </c>
      <c r="C29" t="s">
        <v>8</v>
      </c>
      <c r="D29" s="1" t="s">
        <v>9</v>
      </c>
      <c r="E29" s="1">
        <v>300</v>
      </c>
      <c r="F29">
        <f t="shared" ref="F29:F31" si="2">IF(D29="Replacement", 2 + (E29/685215), IF(D29="OE", 4 + (E29/685215), IF(D29="ST", 1 + (E29/685215), IF(D29="Export", 3 + (E29/685215), ""))))</f>
        <v>2.0004378187868039</v>
      </c>
      <c r="H29" s="11"/>
    </row>
    <row r="30" spans="1:8">
      <c r="A30" t="s">
        <v>66</v>
      </c>
      <c r="B30" s="3" t="s">
        <v>67</v>
      </c>
      <c r="C30" t="s">
        <v>8</v>
      </c>
      <c r="D30" s="1" t="s">
        <v>9</v>
      </c>
      <c r="E30" s="1">
        <v>300</v>
      </c>
      <c r="F30">
        <f t="shared" si="2"/>
        <v>2.0004378187868039</v>
      </c>
      <c r="H30" s="11"/>
    </row>
    <row r="31" spans="1:8">
      <c r="A31" t="s">
        <v>68</v>
      </c>
      <c r="B31" s="3" t="s">
        <v>69</v>
      </c>
      <c r="C31" t="s">
        <v>38</v>
      </c>
      <c r="D31" s="1" t="s">
        <v>39</v>
      </c>
      <c r="E31" s="1">
        <f>13500-7000</f>
        <v>6500</v>
      </c>
      <c r="F31">
        <f t="shared" si="2"/>
        <v>4.0094860737140898</v>
      </c>
      <c r="H31" s="11"/>
    </row>
    <row r="32" spans="1:8" hidden="1">
      <c r="A32" t="s">
        <v>70</v>
      </c>
      <c r="B32" s="3" t="s">
        <v>71</v>
      </c>
      <c r="C32" t="s">
        <v>8</v>
      </c>
      <c r="D32" s="1" t="s">
        <v>9</v>
      </c>
      <c r="E32" s="1">
        <v>0</v>
      </c>
      <c r="F32">
        <f t="shared" si="1"/>
        <v>2.0057567023183442</v>
      </c>
      <c r="H32" s="11">
        <v>3944.5787790641884</v>
      </c>
    </row>
    <row r="33" spans="1:8">
      <c r="A33" t="s">
        <v>72</v>
      </c>
      <c r="B33" s="3" t="s">
        <v>73</v>
      </c>
      <c r="C33" t="s">
        <v>8</v>
      </c>
      <c r="D33" s="1" t="s">
        <v>9</v>
      </c>
      <c r="E33" s="1">
        <v>300</v>
      </c>
      <c r="F33">
        <f t="shared" ref="F33:F70" si="3">IF(D33="Replacement", 2 + (E33/685215), IF(D33="OE", 4 + (E33/685215), IF(D33="ST", 1 + (E33/685215), IF(D33="Export", 3 + (E33/685215), ""))))</f>
        <v>2.0004378187868039</v>
      </c>
      <c r="H33" s="11"/>
    </row>
    <row r="34" spans="1:8">
      <c r="A34" t="s">
        <v>74</v>
      </c>
      <c r="B34" s="3" t="s">
        <v>75</v>
      </c>
      <c r="C34" t="s">
        <v>8</v>
      </c>
      <c r="D34" s="1" t="s">
        <v>9</v>
      </c>
      <c r="E34" s="1">
        <v>2000</v>
      </c>
      <c r="F34">
        <f t="shared" si="3"/>
        <v>2.0029187919120277</v>
      </c>
      <c r="H34" s="11"/>
    </row>
    <row r="35" spans="1:8">
      <c r="A35" t="s">
        <v>76</v>
      </c>
      <c r="B35" s="3" t="s">
        <v>77</v>
      </c>
      <c r="C35" t="s">
        <v>8</v>
      </c>
      <c r="D35" s="1" t="s">
        <v>9</v>
      </c>
      <c r="E35" s="1">
        <v>1557</v>
      </c>
      <c r="F35">
        <f t="shared" si="3"/>
        <v>2.0022722795035133</v>
      </c>
      <c r="H35" s="11"/>
    </row>
    <row r="36" spans="1:8">
      <c r="A36" t="s">
        <v>78</v>
      </c>
      <c r="B36" s="3" t="s">
        <v>79</v>
      </c>
      <c r="C36" t="s">
        <v>8</v>
      </c>
      <c r="D36" s="1" t="s">
        <v>9</v>
      </c>
      <c r="E36" s="1">
        <v>579</v>
      </c>
      <c r="F36">
        <f t="shared" si="3"/>
        <v>2.0008449902585319</v>
      </c>
      <c r="H36" s="11"/>
    </row>
    <row r="37" spans="1:8">
      <c r="A37" t="s">
        <v>80</v>
      </c>
      <c r="B37" s="3" t="s">
        <v>81</v>
      </c>
      <c r="C37" t="s">
        <v>8</v>
      </c>
      <c r="D37" s="1" t="s">
        <v>9</v>
      </c>
      <c r="E37" s="1">
        <v>12000</v>
      </c>
      <c r="F37">
        <f t="shared" si="3"/>
        <v>2.0175127514721658</v>
      </c>
      <c r="H37" s="11"/>
    </row>
    <row r="38" spans="1:8">
      <c r="A38" t="s">
        <v>82</v>
      </c>
      <c r="B38" s="3" t="s">
        <v>83</v>
      </c>
      <c r="C38" t="s">
        <v>8</v>
      </c>
      <c r="D38" s="1" t="s">
        <v>9</v>
      </c>
      <c r="E38" s="1">
        <v>8000</v>
      </c>
      <c r="F38">
        <f t="shared" si="3"/>
        <v>2.0116751676481104</v>
      </c>
      <c r="H38" s="11"/>
    </row>
    <row r="39" spans="1:8">
      <c r="A39" t="s">
        <v>84</v>
      </c>
      <c r="B39" s="3" t="s">
        <v>85</v>
      </c>
      <c r="C39" t="s">
        <v>8</v>
      </c>
      <c r="D39" s="1" t="s">
        <v>9</v>
      </c>
      <c r="E39" s="1">
        <v>40611</v>
      </c>
      <c r="F39">
        <f t="shared" si="3"/>
        <v>2.0592675291696767</v>
      </c>
      <c r="H39" s="11"/>
    </row>
    <row r="40" spans="1:8">
      <c r="A40" t="s">
        <v>86</v>
      </c>
      <c r="B40" s="3" t="s">
        <v>87</v>
      </c>
      <c r="C40" t="s">
        <v>8</v>
      </c>
      <c r="D40" s="1" t="s">
        <v>9</v>
      </c>
      <c r="E40" s="1">
        <v>3000</v>
      </c>
      <c r="F40">
        <f t="shared" si="3"/>
        <v>2.0043781878680416</v>
      </c>
      <c r="H40" s="11"/>
    </row>
    <row r="41" spans="1:8">
      <c r="A41" t="s">
        <v>88</v>
      </c>
      <c r="B41" s="3" t="s">
        <v>89</v>
      </c>
      <c r="C41" t="s">
        <v>8</v>
      </c>
      <c r="D41" s="1" t="s">
        <v>9</v>
      </c>
      <c r="E41" s="1">
        <v>18000</v>
      </c>
      <c r="F41">
        <f t="shared" si="3"/>
        <v>2.0262691272082485</v>
      </c>
      <c r="H41" s="11"/>
    </row>
    <row r="42" spans="1:8">
      <c r="A42" t="s">
        <v>90</v>
      </c>
      <c r="B42" s="3" t="s">
        <v>91</v>
      </c>
      <c r="C42" t="s">
        <v>8</v>
      </c>
      <c r="D42" s="1" t="s">
        <v>9</v>
      </c>
      <c r="E42" s="1">
        <v>421</v>
      </c>
      <c r="F42">
        <f t="shared" si="3"/>
        <v>2.0006144056974819</v>
      </c>
      <c r="H42" s="11"/>
    </row>
    <row r="43" spans="1:8">
      <c r="A43" t="s">
        <v>92</v>
      </c>
      <c r="B43" s="3" t="s">
        <v>93</v>
      </c>
      <c r="C43" t="s">
        <v>8</v>
      </c>
      <c r="D43" s="1" t="s">
        <v>9</v>
      </c>
      <c r="E43" s="1">
        <v>4</v>
      </c>
      <c r="F43">
        <f t="shared" si="3"/>
        <v>2.0000058375838239</v>
      </c>
      <c r="H43" s="11"/>
    </row>
    <row r="44" spans="1:8">
      <c r="A44" t="s">
        <v>94</v>
      </c>
      <c r="B44" s="3" t="s">
        <v>95</v>
      </c>
      <c r="C44" t="s">
        <v>8</v>
      </c>
      <c r="D44" s="1" t="s">
        <v>9</v>
      </c>
      <c r="E44" s="1">
        <v>5181</v>
      </c>
      <c r="F44">
        <f t="shared" si="3"/>
        <v>2.0075611304481074</v>
      </c>
      <c r="H44" s="11"/>
    </row>
    <row r="45" spans="1:8">
      <c r="A45" t="s">
        <v>96</v>
      </c>
      <c r="B45" s="3" t="s">
        <v>97</v>
      </c>
      <c r="C45" t="s">
        <v>8</v>
      </c>
      <c r="D45" s="1" t="s">
        <v>9</v>
      </c>
      <c r="E45" s="1">
        <v>1379</v>
      </c>
      <c r="F45">
        <f t="shared" si="3"/>
        <v>2.002012507023343</v>
      </c>
      <c r="H45" s="11"/>
    </row>
    <row r="46" spans="1:8">
      <c r="A46" t="s">
        <v>98</v>
      </c>
      <c r="B46" s="3" t="s">
        <v>99</v>
      </c>
      <c r="C46" t="s">
        <v>8</v>
      </c>
      <c r="D46" s="1" t="s">
        <v>9</v>
      </c>
      <c r="E46" s="1">
        <v>3887</v>
      </c>
      <c r="F46">
        <f t="shared" si="3"/>
        <v>2.0056726720810256</v>
      </c>
      <c r="H46" s="11"/>
    </row>
    <row r="47" spans="1:8">
      <c r="A47" t="s">
        <v>100</v>
      </c>
      <c r="B47" s="3" t="s">
        <v>101</v>
      </c>
      <c r="C47" t="s">
        <v>8</v>
      </c>
      <c r="D47" s="1" t="s">
        <v>9</v>
      </c>
      <c r="E47" s="1">
        <v>2000</v>
      </c>
      <c r="F47">
        <f t="shared" si="3"/>
        <v>2.0029187919120277</v>
      </c>
      <c r="H47" s="11"/>
    </row>
    <row r="48" spans="1:8">
      <c r="A48" t="s">
        <v>102</v>
      </c>
      <c r="B48" s="3" t="s">
        <v>103</v>
      </c>
      <c r="C48" t="s">
        <v>8</v>
      </c>
      <c r="D48" s="1" t="s">
        <v>9</v>
      </c>
      <c r="E48" s="1">
        <v>2900</v>
      </c>
      <c r="F48">
        <f t="shared" si="3"/>
        <v>2.00423224827244</v>
      </c>
      <c r="H48" s="11"/>
    </row>
    <row r="49" spans="1:8">
      <c r="A49" t="s">
        <v>104</v>
      </c>
      <c r="B49" s="3" t="s">
        <v>105</v>
      </c>
      <c r="C49" t="s">
        <v>8</v>
      </c>
      <c r="D49" s="1" t="s">
        <v>9</v>
      </c>
      <c r="E49" s="1">
        <v>5000</v>
      </c>
      <c r="F49">
        <f t="shared" si="3"/>
        <v>2.0072969797800688</v>
      </c>
      <c r="H49" s="11"/>
    </row>
    <row r="50" spans="1:8">
      <c r="A50" t="s">
        <v>106</v>
      </c>
      <c r="B50" s="3" t="s">
        <v>107</v>
      </c>
      <c r="C50" t="s">
        <v>8</v>
      </c>
      <c r="D50" s="1" t="s">
        <v>9</v>
      </c>
      <c r="E50" s="1">
        <v>5113</v>
      </c>
      <c r="F50">
        <f t="shared" si="3"/>
        <v>2.0074618915230986</v>
      </c>
      <c r="H50" s="11"/>
    </row>
    <row r="51" spans="1:8">
      <c r="A51" t="s">
        <v>108</v>
      </c>
      <c r="B51" s="3" t="s">
        <v>109</v>
      </c>
      <c r="C51" t="s">
        <v>8</v>
      </c>
      <c r="D51" s="1" t="s">
        <v>9</v>
      </c>
      <c r="E51" s="1">
        <v>5000</v>
      </c>
      <c r="F51">
        <f t="shared" si="3"/>
        <v>2.0072969797800688</v>
      </c>
      <c r="H51" s="11"/>
    </row>
    <row r="52" spans="1:8">
      <c r="A52" t="s">
        <v>110</v>
      </c>
      <c r="B52" s="3" t="s">
        <v>111</v>
      </c>
      <c r="C52" t="s">
        <v>8</v>
      </c>
      <c r="D52" s="1" t="s">
        <v>9</v>
      </c>
      <c r="E52" s="1">
        <v>609</v>
      </c>
      <c r="F52">
        <f t="shared" si="3"/>
        <v>2.0008887721372126</v>
      </c>
      <c r="H52" s="11"/>
    </row>
    <row r="53" spans="1:8">
      <c r="A53" t="s">
        <v>112</v>
      </c>
      <c r="B53" s="3" t="s">
        <v>113</v>
      </c>
      <c r="C53" t="s">
        <v>8</v>
      </c>
      <c r="D53" s="1" t="s">
        <v>9</v>
      </c>
      <c r="E53" s="1">
        <v>18000</v>
      </c>
      <c r="F53">
        <f t="shared" si="3"/>
        <v>2.0262691272082485</v>
      </c>
      <c r="H53" s="11"/>
    </row>
    <row r="54" spans="1:8">
      <c r="A54" t="s">
        <v>114</v>
      </c>
      <c r="B54" s="3" t="s">
        <v>115</v>
      </c>
      <c r="C54" t="s">
        <v>8</v>
      </c>
      <c r="D54" s="1" t="s">
        <v>9</v>
      </c>
      <c r="E54" s="1">
        <v>6055</v>
      </c>
      <c r="F54">
        <f t="shared" si="3"/>
        <v>2.0088366425136637</v>
      </c>
      <c r="H54" s="11"/>
    </row>
    <row r="55" spans="1:8">
      <c r="A55" t="s">
        <v>116</v>
      </c>
      <c r="B55" s="3" t="s">
        <v>117</v>
      </c>
      <c r="C55" t="s">
        <v>8</v>
      </c>
      <c r="D55" s="1" t="s">
        <v>9</v>
      </c>
      <c r="E55" s="1">
        <v>9200</v>
      </c>
      <c r="F55">
        <f t="shared" si="3"/>
        <v>2.013426442795327</v>
      </c>
      <c r="H55" s="11"/>
    </row>
    <row r="56" spans="1:8">
      <c r="A56" t="s">
        <v>118</v>
      </c>
      <c r="B56" s="3" t="s">
        <v>119</v>
      </c>
      <c r="C56" t="s">
        <v>8</v>
      </c>
      <c r="D56" s="1" t="s">
        <v>9</v>
      </c>
      <c r="E56" s="1">
        <v>3256</v>
      </c>
      <c r="F56">
        <f t="shared" si="3"/>
        <v>2.004751793232781</v>
      </c>
      <c r="H56" s="11"/>
    </row>
    <row r="57" spans="1:8">
      <c r="A57" t="s">
        <v>120</v>
      </c>
      <c r="B57" s="3" t="s">
        <v>121</v>
      </c>
      <c r="C57" t="s">
        <v>8</v>
      </c>
      <c r="D57" s="1" t="s">
        <v>9</v>
      </c>
      <c r="E57" s="1">
        <v>10024</v>
      </c>
      <c r="F57">
        <f t="shared" si="3"/>
        <v>2.0146289850630823</v>
      </c>
      <c r="H57" s="11"/>
    </row>
    <row r="58" spans="1:8">
      <c r="A58" t="s">
        <v>122</v>
      </c>
      <c r="B58" s="3" t="s">
        <v>123</v>
      </c>
      <c r="C58" t="s">
        <v>8</v>
      </c>
      <c r="D58" s="1" t="s">
        <v>9</v>
      </c>
      <c r="E58" s="1">
        <v>4924</v>
      </c>
      <c r="F58">
        <f t="shared" si="3"/>
        <v>2.0071860656874119</v>
      </c>
      <c r="H58" s="11"/>
    </row>
    <row r="59" spans="1:8">
      <c r="A59" t="s">
        <v>124</v>
      </c>
      <c r="B59" s="3" t="s">
        <v>125</v>
      </c>
      <c r="C59" t="s">
        <v>8</v>
      </c>
      <c r="D59" s="1" t="s">
        <v>9</v>
      </c>
      <c r="E59" s="1">
        <v>2004</v>
      </c>
      <c r="F59">
        <f t="shared" si="3"/>
        <v>2.0029246294958516</v>
      </c>
      <c r="H59" s="11"/>
    </row>
    <row r="60" spans="1:8">
      <c r="A60" t="s">
        <v>126</v>
      </c>
      <c r="B60" s="3" t="s">
        <v>127</v>
      </c>
      <c r="C60" t="s">
        <v>8</v>
      </c>
      <c r="D60" s="1" t="s">
        <v>9</v>
      </c>
      <c r="E60" s="1">
        <v>6098</v>
      </c>
      <c r="F60">
        <f t="shared" si="3"/>
        <v>2.0088993965397721</v>
      </c>
      <c r="H60" s="11"/>
    </row>
    <row r="61" spans="1:8">
      <c r="A61" t="s">
        <v>128</v>
      </c>
      <c r="B61" s="3" t="s">
        <v>129</v>
      </c>
      <c r="C61" t="s">
        <v>8</v>
      </c>
      <c r="D61" s="1" t="s">
        <v>9</v>
      </c>
      <c r="E61" s="1">
        <v>5318</v>
      </c>
      <c r="F61">
        <f t="shared" si="3"/>
        <v>2.0077610676940814</v>
      </c>
      <c r="H61" s="11"/>
    </row>
    <row r="62" spans="1:8">
      <c r="A62" t="s">
        <v>130</v>
      </c>
      <c r="B62" s="3" t="s">
        <v>131</v>
      </c>
      <c r="C62" t="s">
        <v>38</v>
      </c>
      <c r="D62" s="1" t="s">
        <v>39</v>
      </c>
      <c r="E62" s="1">
        <v>27500</v>
      </c>
      <c r="F62">
        <f t="shared" si="3"/>
        <v>4.0401333887903794</v>
      </c>
      <c r="H62" s="11"/>
    </row>
    <row r="63" spans="1:8">
      <c r="A63" t="s">
        <v>132</v>
      </c>
      <c r="B63" s="3" t="s">
        <v>133</v>
      </c>
      <c r="C63" t="s">
        <v>8</v>
      </c>
      <c r="D63" s="1" t="s">
        <v>9</v>
      </c>
      <c r="E63" s="1">
        <v>7000</v>
      </c>
      <c r="F63">
        <f t="shared" si="3"/>
        <v>2.0102157716920965</v>
      </c>
      <c r="H63" s="11"/>
    </row>
    <row r="64" spans="1:8">
      <c r="A64" t="s">
        <v>134</v>
      </c>
      <c r="B64" s="3" t="s">
        <v>135</v>
      </c>
      <c r="C64" t="s">
        <v>8</v>
      </c>
      <c r="D64" s="1" t="s">
        <v>9</v>
      </c>
      <c r="E64" s="1">
        <v>900</v>
      </c>
      <c r="F64">
        <f t="shared" si="3"/>
        <v>2.0013134563604122</v>
      </c>
      <c r="H64" s="11"/>
    </row>
    <row r="65" spans="1:8">
      <c r="A65" t="s">
        <v>136</v>
      </c>
      <c r="B65" s="3" t="s">
        <v>137</v>
      </c>
      <c r="C65" t="s">
        <v>8</v>
      </c>
      <c r="D65" s="1" t="s">
        <v>9</v>
      </c>
      <c r="E65" s="1">
        <v>456</v>
      </c>
      <c r="F65">
        <f t="shared" si="3"/>
        <v>2.0006654845559422</v>
      </c>
      <c r="H65" s="11"/>
    </row>
    <row r="66" spans="1:8">
      <c r="A66" t="s">
        <v>138</v>
      </c>
      <c r="B66" s="3" t="s">
        <v>139</v>
      </c>
      <c r="C66" t="s">
        <v>8</v>
      </c>
      <c r="D66" s="1" t="s">
        <v>9</v>
      </c>
      <c r="E66" s="1">
        <v>5000</v>
      </c>
      <c r="F66">
        <f t="shared" si="3"/>
        <v>2.0072969797800688</v>
      </c>
      <c r="H66" s="11"/>
    </row>
    <row r="67" spans="1:8">
      <c r="A67" t="s">
        <v>140</v>
      </c>
      <c r="B67" s="3" t="s">
        <v>141</v>
      </c>
      <c r="C67" t="s">
        <v>8</v>
      </c>
      <c r="D67" s="1" t="s">
        <v>9</v>
      </c>
      <c r="E67" s="1">
        <v>6492</v>
      </c>
      <c r="F67">
        <f t="shared" si="3"/>
        <v>2.0094743985464416</v>
      </c>
      <c r="H67" s="11"/>
    </row>
    <row r="68" spans="1:8">
      <c r="A68" t="s">
        <v>142</v>
      </c>
      <c r="B68" s="3" t="s">
        <v>143</v>
      </c>
      <c r="C68" t="s">
        <v>8</v>
      </c>
      <c r="D68" s="1" t="s">
        <v>9</v>
      </c>
      <c r="E68" s="1">
        <v>5866</v>
      </c>
      <c r="F68">
        <f t="shared" si="3"/>
        <v>2.0085608166779769</v>
      </c>
      <c r="H68" s="11"/>
    </row>
    <row r="69" spans="1:8">
      <c r="A69" t="s">
        <v>144</v>
      </c>
      <c r="B69" s="3" t="s">
        <v>145</v>
      </c>
      <c r="C69" t="s">
        <v>8</v>
      </c>
      <c r="D69" s="1" t="s">
        <v>9</v>
      </c>
      <c r="E69" s="1">
        <v>9119</v>
      </c>
      <c r="F69">
        <f t="shared" si="3"/>
        <v>2.0133082317228901</v>
      </c>
      <c r="H69" s="11"/>
    </row>
    <row r="70" spans="1:8">
      <c r="A70" t="s">
        <v>146</v>
      </c>
      <c r="B70" s="3" t="s">
        <v>147</v>
      </c>
      <c r="C70" t="s">
        <v>8</v>
      </c>
      <c r="D70" s="1" t="s">
        <v>9</v>
      </c>
      <c r="E70" s="1">
        <v>6000</v>
      </c>
      <c r="F70">
        <f t="shared" si="3"/>
        <v>2.0087563757360827</v>
      </c>
      <c r="H70" s="11"/>
    </row>
    <row r="71" spans="1:8" hidden="1">
      <c r="A71" t="s">
        <v>148</v>
      </c>
      <c r="B71" s="3" t="s">
        <v>149</v>
      </c>
      <c r="C71" t="s">
        <v>8</v>
      </c>
      <c r="D71" s="1" t="s">
        <v>9</v>
      </c>
      <c r="E71" s="1">
        <v>0</v>
      </c>
      <c r="F71">
        <f t="shared" ref="F67:F130" si="4">IF(D71="Replacement", 2 + (H71/685215), IF(D71="OE", 4 + (H71/685215), IF(D71="ST", 1 + (H71/685215), IF(D71="Export", 3 + (H71/685215), ""))))</f>
        <v>2.0001367804553105</v>
      </c>
      <c r="H71" s="11">
        <v>93.724019685726986</v>
      </c>
    </row>
    <row r="72" spans="1:8">
      <c r="A72" t="s">
        <v>150</v>
      </c>
      <c r="B72" s="3" t="s">
        <v>151</v>
      </c>
      <c r="C72" t="s">
        <v>38</v>
      </c>
      <c r="D72" s="1" t="s">
        <v>39</v>
      </c>
      <c r="E72" s="1">
        <v>5000</v>
      </c>
      <c r="F72">
        <f t="shared" ref="F72:F83" si="5">IF(D72="Replacement", 2 + (E72/685215), IF(D72="OE", 4 + (E72/685215), IF(D72="ST", 1 + (E72/685215), IF(D72="Export", 3 + (E72/685215), ""))))</f>
        <v>4.0072969797800688</v>
      </c>
      <c r="H72" s="11"/>
    </row>
    <row r="73" spans="1:8">
      <c r="A73" t="s">
        <v>58</v>
      </c>
      <c r="B73" s="3" t="s">
        <v>59</v>
      </c>
      <c r="C73" t="s">
        <v>8</v>
      </c>
      <c r="D73" s="1" t="s">
        <v>9</v>
      </c>
      <c r="E73" s="1">
        <v>1541</v>
      </c>
      <c r="F73">
        <f t="shared" si="5"/>
        <v>2.0022489291682173</v>
      </c>
      <c r="H73" s="11"/>
    </row>
    <row r="74" spans="1:8">
      <c r="A74" t="s">
        <v>152</v>
      </c>
      <c r="B74" s="3" t="s">
        <v>153</v>
      </c>
      <c r="C74" t="s">
        <v>38</v>
      </c>
      <c r="D74" s="1" t="s">
        <v>39</v>
      </c>
      <c r="E74" s="1">
        <v>23400</v>
      </c>
      <c r="F74">
        <f t="shared" si="5"/>
        <v>4.0341498653707228</v>
      </c>
      <c r="H74" s="11"/>
    </row>
    <row r="75" spans="1:8">
      <c r="A75" t="s">
        <v>144</v>
      </c>
      <c r="B75" s="3" t="s">
        <v>145</v>
      </c>
      <c r="C75" t="s">
        <v>38</v>
      </c>
      <c r="D75" s="1" t="s">
        <v>39</v>
      </c>
      <c r="E75" s="1">
        <v>6500</v>
      </c>
      <c r="F75">
        <f t="shared" si="5"/>
        <v>4.0094860737140898</v>
      </c>
      <c r="H75" s="11"/>
    </row>
    <row r="76" spans="1:8">
      <c r="A76" t="s">
        <v>154</v>
      </c>
      <c r="B76" s="3" t="s">
        <v>155</v>
      </c>
      <c r="C76" t="s">
        <v>38</v>
      </c>
      <c r="D76" s="1" t="s">
        <v>39</v>
      </c>
      <c r="E76" s="1">
        <v>30700</v>
      </c>
      <c r="F76">
        <f t="shared" si="5"/>
        <v>4.0448034558496238</v>
      </c>
      <c r="H76" s="11"/>
    </row>
    <row r="77" spans="1:8">
      <c r="A77" t="s">
        <v>156</v>
      </c>
      <c r="B77" s="3" t="s">
        <v>157</v>
      </c>
      <c r="C77" t="s">
        <v>8</v>
      </c>
      <c r="D77" s="1" t="s">
        <v>9</v>
      </c>
      <c r="E77" s="1">
        <v>5000</v>
      </c>
      <c r="F77">
        <f t="shared" si="5"/>
        <v>2.0072969797800688</v>
      </c>
      <c r="H77" s="11"/>
    </row>
    <row r="78" spans="1:8">
      <c r="A78" t="s">
        <v>150</v>
      </c>
      <c r="B78" s="3" t="s">
        <v>151</v>
      </c>
      <c r="C78" t="s">
        <v>8</v>
      </c>
      <c r="D78" s="1" t="s">
        <v>9</v>
      </c>
      <c r="E78" s="1">
        <v>6264</v>
      </c>
      <c r="F78">
        <f t="shared" si="5"/>
        <v>2.0091416562684703</v>
      </c>
      <c r="H78" s="11"/>
    </row>
    <row r="79" spans="1:8">
      <c r="A79" t="s">
        <v>6</v>
      </c>
      <c r="B79" s="3" t="s">
        <v>7</v>
      </c>
      <c r="C79" t="s">
        <v>38</v>
      </c>
      <c r="D79" s="1" t="s">
        <v>39</v>
      </c>
      <c r="E79" s="1">
        <v>5500</v>
      </c>
      <c r="F79">
        <f t="shared" si="5"/>
        <v>4.0080266777580755</v>
      </c>
      <c r="H79" s="11"/>
    </row>
    <row r="80" spans="1:8">
      <c r="A80" t="s">
        <v>158</v>
      </c>
      <c r="B80" s="3" t="s">
        <v>159</v>
      </c>
      <c r="C80" t="s">
        <v>8</v>
      </c>
      <c r="D80" s="1" t="s">
        <v>9</v>
      </c>
      <c r="E80" s="1">
        <v>148</v>
      </c>
      <c r="F80">
        <f t="shared" si="5"/>
        <v>2.00021599060149</v>
      </c>
      <c r="H80" s="11"/>
    </row>
    <row r="81" spans="1:8">
      <c r="A81" t="s">
        <v>160</v>
      </c>
      <c r="B81" s="3" t="s">
        <v>161</v>
      </c>
      <c r="C81" t="s">
        <v>8</v>
      </c>
      <c r="D81" s="1" t="s">
        <v>9</v>
      </c>
      <c r="E81" s="1">
        <v>2914</v>
      </c>
      <c r="F81">
        <f t="shared" si="5"/>
        <v>2.0042526798158242</v>
      </c>
      <c r="H81" s="11"/>
    </row>
    <row r="82" spans="1:8">
      <c r="A82" t="s">
        <v>162</v>
      </c>
      <c r="B82" s="3" t="s">
        <v>163</v>
      </c>
      <c r="C82" t="s">
        <v>8</v>
      </c>
      <c r="D82" s="1" t="s">
        <v>9</v>
      </c>
      <c r="E82" s="1">
        <v>1432</v>
      </c>
      <c r="F82">
        <f t="shared" si="5"/>
        <v>2.0020898550090118</v>
      </c>
      <c r="H82" s="11"/>
    </row>
    <row r="83" spans="1:8">
      <c r="A83" t="s">
        <v>164</v>
      </c>
      <c r="B83" s="3" t="s">
        <v>165</v>
      </c>
      <c r="C83" t="s">
        <v>8</v>
      </c>
      <c r="D83" s="1" t="s">
        <v>9</v>
      </c>
      <c r="E83" s="1">
        <v>20000</v>
      </c>
      <c r="F83">
        <f t="shared" si="5"/>
        <v>2.0291879191202762</v>
      </c>
      <c r="H83" s="11"/>
    </row>
    <row r="84" spans="1:8" hidden="1">
      <c r="A84" t="s">
        <v>52</v>
      </c>
      <c r="B84" s="3" t="s">
        <v>53</v>
      </c>
      <c r="C84" t="s">
        <v>38</v>
      </c>
      <c r="D84" s="1" t="s">
        <v>39</v>
      </c>
      <c r="E84" s="1">
        <v>0</v>
      </c>
      <c r="F84">
        <f t="shared" si="4"/>
        <v>4.0118022026227456</v>
      </c>
      <c r="H84" s="11">
        <v>8087.0462701443021</v>
      </c>
    </row>
    <row r="85" spans="1:8">
      <c r="A85" t="s">
        <v>166</v>
      </c>
      <c r="B85" s="3" t="s">
        <v>167</v>
      </c>
      <c r="C85" t="s">
        <v>8</v>
      </c>
      <c r="D85" s="1" t="s">
        <v>9</v>
      </c>
      <c r="E85" s="1">
        <v>548</v>
      </c>
      <c r="F85">
        <f t="shared" ref="F85:F91" si="6">IF(D85="Replacement", 2 + (E85/685215), IF(D85="OE", 4 + (E85/685215), IF(D85="ST", 1 + (E85/685215), IF(D85="Export", 3 + (E85/685215), ""))))</f>
        <v>2.0007997489838956</v>
      </c>
      <c r="H85" s="11"/>
    </row>
    <row r="86" spans="1:8">
      <c r="A86" t="s">
        <v>84</v>
      </c>
      <c r="B86" s="3" t="s">
        <v>85</v>
      </c>
      <c r="C86" t="s">
        <v>38</v>
      </c>
      <c r="D86" s="1" t="s">
        <v>39</v>
      </c>
      <c r="E86" s="1">
        <v>17500</v>
      </c>
      <c r="F86">
        <f t="shared" si="6"/>
        <v>4.0255394292302418</v>
      </c>
      <c r="H86" s="11"/>
    </row>
    <row r="87" spans="1:8">
      <c r="A87" t="s">
        <v>168</v>
      </c>
      <c r="B87" s="3" t="s">
        <v>169</v>
      </c>
      <c r="C87" t="s">
        <v>8</v>
      </c>
      <c r="D87" s="1" t="s">
        <v>9</v>
      </c>
      <c r="E87" s="1">
        <v>2519</v>
      </c>
      <c r="F87">
        <f t="shared" si="6"/>
        <v>2.0036762184131987</v>
      </c>
      <c r="H87" s="11"/>
    </row>
    <row r="88" spans="1:8">
      <c r="A88" t="s">
        <v>162</v>
      </c>
      <c r="B88" s="3" t="s">
        <v>163</v>
      </c>
      <c r="C88" t="s">
        <v>38</v>
      </c>
      <c r="D88" s="1" t="s">
        <v>39</v>
      </c>
      <c r="E88" s="1">
        <v>821</v>
      </c>
      <c r="F88">
        <f t="shared" si="6"/>
        <v>4.001198164079887</v>
      </c>
      <c r="H88" s="11"/>
    </row>
    <row r="89" spans="1:8">
      <c r="A89" t="s">
        <v>170</v>
      </c>
      <c r="B89" s="3" t="s">
        <v>171</v>
      </c>
      <c r="C89" t="s">
        <v>8</v>
      </c>
      <c r="D89" s="1" t="s">
        <v>9</v>
      </c>
      <c r="E89" s="1">
        <v>2061</v>
      </c>
      <c r="F89">
        <f t="shared" si="6"/>
        <v>2.0030078150653443</v>
      </c>
      <c r="H89" s="11"/>
    </row>
    <row r="90" spans="1:8">
      <c r="A90" t="s">
        <v>172</v>
      </c>
      <c r="B90" s="3" t="s">
        <v>173</v>
      </c>
      <c r="C90" t="s">
        <v>8</v>
      </c>
      <c r="D90" s="1" t="s">
        <v>9</v>
      </c>
      <c r="E90" s="1">
        <v>20000</v>
      </c>
      <c r="F90">
        <f t="shared" si="6"/>
        <v>2.0291879191202762</v>
      </c>
      <c r="H90" s="11"/>
    </row>
    <row r="91" spans="1:8">
      <c r="A91" t="s">
        <v>174</v>
      </c>
      <c r="B91" s="3" t="s">
        <v>175</v>
      </c>
      <c r="C91" t="s">
        <v>8</v>
      </c>
      <c r="D91" s="1" t="s">
        <v>9</v>
      </c>
      <c r="E91" s="1">
        <v>558</v>
      </c>
      <c r="F91">
        <f t="shared" si="6"/>
        <v>2.0008143429434555</v>
      </c>
      <c r="H91" s="11"/>
    </row>
    <row r="92" spans="1:8" hidden="1">
      <c r="A92" t="s">
        <v>176</v>
      </c>
      <c r="B92" s="3" t="s">
        <v>177</v>
      </c>
      <c r="C92" t="s">
        <v>8</v>
      </c>
      <c r="D92" s="1" t="s">
        <v>9</v>
      </c>
      <c r="E92" s="1">
        <v>0</v>
      </c>
      <c r="F92">
        <f t="shared" si="4"/>
        <v>2.0343857290674161</v>
      </c>
      <c r="H92" s="11">
        <v>23561.61734292941</v>
      </c>
    </row>
    <row r="93" spans="1:8">
      <c r="A93" t="s">
        <v>56</v>
      </c>
      <c r="B93" s="3" t="s">
        <v>57</v>
      </c>
      <c r="C93" t="s">
        <v>8</v>
      </c>
      <c r="D93" s="1" t="s">
        <v>9</v>
      </c>
      <c r="E93" s="1">
        <v>33</v>
      </c>
      <c r="F93">
        <f t="shared" ref="F93:F134" si="7">IF(D93="Replacement", 2 + (E93/685215), IF(D93="OE", 4 + (E93/685215), IF(D93="ST", 1 + (E93/685215), IF(D93="Export", 3 + (E93/685215), ""))))</f>
        <v>2.0000481600665485</v>
      </c>
      <c r="H93" s="11"/>
    </row>
    <row r="94" spans="1:8">
      <c r="A94" t="s">
        <v>120</v>
      </c>
      <c r="B94" s="3" t="s">
        <v>121</v>
      </c>
      <c r="C94" t="s">
        <v>38</v>
      </c>
      <c r="D94" s="1" t="s">
        <v>39</v>
      </c>
      <c r="E94" s="1">
        <v>7000</v>
      </c>
      <c r="F94">
        <f t="shared" si="7"/>
        <v>4.0102157716920965</v>
      </c>
      <c r="H94" s="11"/>
    </row>
    <row r="95" spans="1:8">
      <c r="A95" t="s">
        <v>178</v>
      </c>
      <c r="B95" s="3" t="s">
        <v>179</v>
      </c>
      <c r="C95" t="s">
        <v>38</v>
      </c>
      <c r="D95" s="1" t="s">
        <v>39</v>
      </c>
      <c r="E95" s="1">
        <v>6300</v>
      </c>
      <c r="F95">
        <f t="shared" si="7"/>
        <v>4.0091941945228866</v>
      </c>
      <c r="H95" s="11"/>
    </row>
    <row r="96" spans="1:8">
      <c r="A96" t="s">
        <v>180</v>
      </c>
      <c r="B96" s="3" t="s">
        <v>181</v>
      </c>
      <c r="C96" t="s">
        <v>8</v>
      </c>
      <c r="D96" s="1" t="s">
        <v>9</v>
      </c>
      <c r="E96" s="1">
        <v>22000</v>
      </c>
      <c r="F96">
        <f t="shared" si="7"/>
        <v>2.0321067110323039</v>
      </c>
      <c r="H96" s="11"/>
    </row>
    <row r="97" spans="1:8">
      <c r="A97" t="s">
        <v>182</v>
      </c>
      <c r="B97" s="3" t="s">
        <v>183</v>
      </c>
      <c r="C97" t="s">
        <v>8</v>
      </c>
      <c r="D97" s="1" t="s">
        <v>9</v>
      </c>
      <c r="E97" s="1">
        <v>8000</v>
      </c>
      <c r="F97">
        <f t="shared" si="7"/>
        <v>2.0116751676481104</v>
      </c>
      <c r="H97" s="10"/>
    </row>
    <row r="98" spans="1:8">
      <c r="A98" t="s">
        <v>42</v>
      </c>
      <c r="B98" s="3" t="s">
        <v>43</v>
      </c>
      <c r="C98" t="s">
        <v>8</v>
      </c>
      <c r="D98" s="1" t="s">
        <v>9</v>
      </c>
      <c r="E98" s="1">
        <v>600</v>
      </c>
      <c r="F98">
        <f t="shared" si="7"/>
        <v>2.0008756375736083</v>
      </c>
      <c r="H98" s="10"/>
    </row>
    <row r="99" spans="1:8">
      <c r="A99" t="s">
        <v>184</v>
      </c>
      <c r="B99" s="3" t="s">
        <v>185</v>
      </c>
      <c r="C99" t="s">
        <v>8</v>
      </c>
      <c r="D99" s="1" t="s">
        <v>9</v>
      </c>
      <c r="E99" s="1">
        <v>25000</v>
      </c>
      <c r="F99">
        <f t="shared" si="7"/>
        <v>2.036484898900345</v>
      </c>
      <c r="H99" s="10"/>
    </row>
    <row r="100" spans="1:8">
      <c r="A100" t="s">
        <v>186</v>
      </c>
      <c r="B100" s="3" t="s">
        <v>187</v>
      </c>
      <c r="C100" t="s">
        <v>8</v>
      </c>
      <c r="D100" s="1" t="s">
        <v>9</v>
      </c>
      <c r="E100" s="1">
        <v>500</v>
      </c>
      <c r="F100">
        <f t="shared" si="7"/>
        <v>2.0007296979780067</v>
      </c>
    </row>
    <row r="101" spans="1:8">
      <c r="A101" t="s">
        <v>50</v>
      </c>
      <c r="B101" s="3" t="s">
        <v>51</v>
      </c>
      <c r="C101" t="s">
        <v>38</v>
      </c>
      <c r="D101" s="1" t="s">
        <v>188</v>
      </c>
      <c r="E101" s="1">
        <v>5</v>
      </c>
      <c r="F101">
        <f t="shared" si="7"/>
        <v>3.00000729697978</v>
      </c>
    </row>
    <row r="102" spans="1:8">
      <c r="A102" t="s">
        <v>74</v>
      </c>
      <c r="B102" s="3" t="s">
        <v>75</v>
      </c>
      <c r="C102" t="s">
        <v>38</v>
      </c>
      <c r="D102" s="1" t="s">
        <v>188</v>
      </c>
      <c r="E102" s="1">
        <v>9</v>
      </c>
      <c r="F102">
        <f t="shared" si="7"/>
        <v>3.0000131345636043</v>
      </c>
    </row>
    <row r="103" spans="1:8">
      <c r="A103" t="s">
        <v>48</v>
      </c>
      <c r="B103" s="3" t="s">
        <v>49</v>
      </c>
      <c r="C103" t="s">
        <v>38</v>
      </c>
      <c r="D103" s="1" t="s">
        <v>188</v>
      </c>
      <c r="E103" s="1">
        <v>30</v>
      </c>
      <c r="F103">
        <f t="shared" si="7"/>
        <v>3.0000437818786803</v>
      </c>
    </row>
    <row r="104" spans="1:8">
      <c r="A104" t="s">
        <v>128</v>
      </c>
      <c r="B104" s="3" t="s">
        <v>129</v>
      </c>
      <c r="C104" t="s">
        <v>38</v>
      </c>
      <c r="D104" s="1" t="s">
        <v>188</v>
      </c>
      <c r="E104" s="1">
        <v>100</v>
      </c>
      <c r="F104">
        <f t="shared" si="7"/>
        <v>3.0001459395956012</v>
      </c>
    </row>
    <row r="105" spans="1:8">
      <c r="A105" t="s">
        <v>86</v>
      </c>
      <c r="B105" s="3" t="s">
        <v>87</v>
      </c>
      <c r="C105" t="s">
        <v>38</v>
      </c>
      <c r="D105" s="1" t="s">
        <v>188</v>
      </c>
      <c r="E105" s="1">
        <v>26</v>
      </c>
      <c r="F105">
        <f t="shared" si="7"/>
        <v>3.0000379442948564</v>
      </c>
    </row>
    <row r="106" spans="1:8">
      <c r="A106" t="s">
        <v>170</v>
      </c>
      <c r="B106" s="3" t="s">
        <v>171</v>
      </c>
      <c r="C106" t="s">
        <v>38</v>
      </c>
      <c r="D106" s="1" t="s">
        <v>188</v>
      </c>
      <c r="E106" s="1">
        <v>100</v>
      </c>
      <c r="F106">
        <f t="shared" si="7"/>
        <v>3.0001459395956012</v>
      </c>
    </row>
    <row r="107" spans="1:8">
      <c r="A107" t="s">
        <v>168</v>
      </c>
      <c r="B107" s="3" t="s">
        <v>169</v>
      </c>
      <c r="C107" t="s">
        <v>38</v>
      </c>
      <c r="D107" s="1" t="s">
        <v>188</v>
      </c>
      <c r="E107" s="1">
        <v>50</v>
      </c>
      <c r="F107">
        <f t="shared" si="7"/>
        <v>3.0000729697978006</v>
      </c>
    </row>
    <row r="108" spans="1:8">
      <c r="A108" t="s">
        <v>74</v>
      </c>
      <c r="B108" s="3" t="s">
        <v>75</v>
      </c>
      <c r="C108" t="s">
        <v>38</v>
      </c>
      <c r="D108" s="1" t="s">
        <v>188</v>
      </c>
      <c r="E108" s="1">
        <v>20</v>
      </c>
      <c r="F108">
        <f t="shared" si="7"/>
        <v>3.0000291879191203</v>
      </c>
    </row>
    <row r="109" spans="1:8">
      <c r="A109" t="s">
        <v>100</v>
      </c>
      <c r="B109" s="3" t="s">
        <v>101</v>
      </c>
      <c r="C109" t="s">
        <v>38</v>
      </c>
      <c r="D109" s="1" t="s">
        <v>188</v>
      </c>
      <c r="E109" s="1">
        <v>47</v>
      </c>
      <c r="F109">
        <f t="shared" si="7"/>
        <v>3.0000685916099328</v>
      </c>
    </row>
    <row r="110" spans="1:8">
      <c r="A110" t="s">
        <v>140</v>
      </c>
      <c r="B110" s="3" t="s">
        <v>141</v>
      </c>
      <c r="C110" t="s">
        <v>38</v>
      </c>
      <c r="D110" s="1" t="s">
        <v>188</v>
      </c>
      <c r="E110" s="1">
        <v>70</v>
      </c>
      <c r="F110">
        <f t="shared" si="7"/>
        <v>3.0001021577169209</v>
      </c>
    </row>
    <row r="111" spans="1:8">
      <c r="A111" t="s">
        <v>180</v>
      </c>
      <c r="B111" s="3" t="s">
        <v>181</v>
      </c>
      <c r="C111" t="s">
        <v>38</v>
      </c>
      <c r="D111" s="1" t="s">
        <v>188</v>
      </c>
      <c r="E111" s="1">
        <v>300</v>
      </c>
      <c r="F111">
        <f t="shared" si="7"/>
        <v>3.0004378187868039</v>
      </c>
    </row>
    <row r="112" spans="1:8">
      <c r="A112" t="s">
        <v>170</v>
      </c>
      <c r="B112" s="3" t="s">
        <v>171</v>
      </c>
      <c r="C112" t="s">
        <v>38</v>
      </c>
      <c r="D112" s="1" t="s">
        <v>188</v>
      </c>
      <c r="E112" s="1">
        <v>100</v>
      </c>
      <c r="F112">
        <f t="shared" si="7"/>
        <v>3.0001459395956012</v>
      </c>
    </row>
    <row r="113" spans="1:6">
      <c r="A113" t="s">
        <v>168</v>
      </c>
      <c r="B113" s="3" t="s">
        <v>169</v>
      </c>
      <c r="C113" t="s">
        <v>38</v>
      </c>
      <c r="D113" s="1" t="s">
        <v>188</v>
      </c>
      <c r="E113" s="1">
        <v>50</v>
      </c>
      <c r="F113">
        <f t="shared" si="7"/>
        <v>3.0000729697978006</v>
      </c>
    </row>
    <row r="114" spans="1:6">
      <c r="A114" t="s">
        <v>100</v>
      </c>
      <c r="B114" s="3" t="s">
        <v>101</v>
      </c>
      <c r="C114" t="s">
        <v>38</v>
      </c>
      <c r="D114" s="1" t="s">
        <v>188</v>
      </c>
      <c r="E114" s="1">
        <v>50</v>
      </c>
      <c r="F114">
        <f t="shared" si="7"/>
        <v>3.0000729697978006</v>
      </c>
    </row>
    <row r="115" spans="1:6">
      <c r="A115" t="s">
        <v>189</v>
      </c>
      <c r="B115" s="3" t="s">
        <v>190</v>
      </c>
      <c r="C115" t="s">
        <v>38</v>
      </c>
      <c r="D115" s="1" t="s">
        <v>188</v>
      </c>
      <c r="E115" s="1">
        <v>163</v>
      </c>
      <c r="F115">
        <f t="shared" si="7"/>
        <v>3.0002378815408304</v>
      </c>
    </row>
    <row r="116" spans="1:6">
      <c r="A116" t="s">
        <v>86</v>
      </c>
      <c r="B116" s="3" t="s">
        <v>87</v>
      </c>
      <c r="C116" t="s">
        <v>38</v>
      </c>
      <c r="D116" s="1" t="s">
        <v>188</v>
      </c>
      <c r="E116" s="1">
        <v>200</v>
      </c>
      <c r="F116">
        <f t="shared" si="7"/>
        <v>3.0002918791912028</v>
      </c>
    </row>
    <row r="117" spans="1:6">
      <c r="A117" t="s">
        <v>191</v>
      </c>
      <c r="B117" s="3" t="s">
        <v>192</v>
      </c>
      <c r="C117" t="s">
        <v>38</v>
      </c>
      <c r="D117" s="1" t="s">
        <v>188</v>
      </c>
      <c r="E117" s="1">
        <v>93</v>
      </c>
      <c r="F117">
        <f t="shared" si="7"/>
        <v>3.0001357238239095</v>
      </c>
    </row>
    <row r="118" spans="1:6">
      <c r="A118" t="s">
        <v>100</v>
      </c>
      <c r="B118" s="3" t="s">
        <v>101</v>
      </c>
      <c r="C118" t="s">
        <v>38</v>
      </c>
      <c r="D118" s="1" t="s">
        <v>188</v>
      </c>
      <c r="E118" s="1">
        <v>680</v>
      </c>
      <c r="F118">
        <f t="shared" si="7"/>
        <v>3.0009923892500896</v>
      </c>
    </row>
    <row r="119" spans="1:6">
      <c r="A119" t="s">
        <v>193</v>
      </c>
      <c r="B119" s="3" t="s">
        <v>194</v>
      </c>
      <c r="C119" t="s">
        <v>38</v>
      </c>
      <c r="D119" s="1" t="s">
        <v>188</v>
      </c>
      <c r="E119" s="1">
        <v>615</v>
      </c>
      <c r="F119">
        <f t="shared" si="7"/>
        <v>3.0008975285129487</v>
      </c>
    </row>
    <row r="120" spans="1:6">
      <c r="A120" t="s">
        <v>195</v>
      </c>
      <c r="B120" s="3" t="s">
        <v>196</v>
      </c>
      <c r="C120" t="s">
        <v>38</v>
      </c>
      <c r="D120" s="1" t="s">
        <v>188</v>
      </c>
      <c r="E120" s="1">
        <v>93</v>
      </c>
      <c r="F120">
        <f t="shared" si="7"/>
        <v>3.0001357238239095</v>
      </c>
    </row>
    <row r="121" spans="1:6">
      <c r="A121" t="s">
        <v>82</v>
      </c>
      <c r="B121" s="3" t="s">
        <v>83</v>
      </c>
      <c r="C121" t="s">
        <v>38</v>
      </c>
      <c r="D121" s="1" t="s">
        <v>188</v>
      </c>
      <c r="E121" s="1">
        <v>30</v>
      </c>
      <c r="F121">
        <f t="shared" si="7"/>
        <v>3.0000437818786803</v>
      </c>
    </row>
    <row r="122" spans="1:6">
      <c r="A122" t="s">
        <v>197</v>
      </c>
      <c r="B122" s="3" t="s">
        <v>198</v>
      </c>
      <c r="C122" t="s">
        <v>38</v>
      </c>
      <c r="D122" s="1" t="s">
        <v>188</v>
      </c>
      <c r="E122" s="1">
        <v>1160</v>
      </c>
      <c r="F122">
        <f t="shared" si="7"/>
        <v>3.001692899308976</v>
      </c>
    </row>
    <row r="123" spans="1:6">
      <c r="A123" t="s">
        <v>52</v>
      </c>
      <c r="B123" s="3" t="s">
        <v>53</v>
      </c>
      <c r="C123" t="s">
        <v>38</v>
      </c>
      <c r="D123" s="1" t="s">
        <v>188</v>
      </c>
      <c r="E123" s="1">
        <v>1438</v>
      </c>
      <c r="F123">
        <f t="shared" si="7"/>
        <v>3.0020986113847479</v>
      </c>
    </row>
    <row r="124" spans="1:6">
      <c r="A124" t="s">
        <v>106</v>
      </c>
      <c r="B124" s="3" t="s">
        <v>107</v>
      </c>
      <c r="C124" t="s">
        <v>38</v>
      </c>
      <c r="D124" s="1" t="s">
        <v>188</v>
      </c>
      <c r="E124" s="1">
        <v>1740</v>
      </c>
      <c r="F124">
        <f t="shared" si="7"/>
        <v>3.002539348963464</v>
      </c>
    </row>
    <row r="125" spans="1:6">
      <c r="A125" t="s">
        <v>199</v>
      </c>
      <c r="B125" s="3" t="s">
        <v>200</v>
      </c>
      <c r="C125" t="s">
        <v>38</v>
      </c>
      <c r="D125" s="1" t="s">
        <v>188</v>
      </c>
      <c r="E125" s="1">
        <v>11</v>
      </c>
      <c r="F125">
        <f t="shared" si="7"/>
        <v>3.000016053355516</v>
      </c>
    </row>
    <row r="126" spans="1:6">
      <c r="A126" t="s">
        <v>86</v>
      </c>
      <c r="B126" s="3" t="s">
        <v>87</v>
      </c>
      <c r="C126" t="s">
        <v>38</v>
      </c>
      <c r="D126" s="1" t="s">
        <v>188</v>
      </c>
      <c r="E126" s="1">
        <v>200</v>
      </c>
      <c r="F126">
        <f t="shared" si="7"/>
        <v>3.0002918791912028</v>
      </c>
    </row>
    <row r="127" spans="1:6">
      <c r="A127" t="s">
        <v>201</v>
      </c>
      <c r="B127" s="3" t="s">
        <v>202</v>
      </c>
      <c r="C127" t="s">
        <v>38</v>
      </c>
      <c r="D127" s="1" t="s">
        <v>188</v>
      </c>
      <c r="E127" s="1">
        <v>423</v>
      </c>
      <c r="F127">
        <f t="shared" si="7"/>
        <v>3.0006173244893937</v>
      </c>
    </row>
    <row r="128" spans="1:6">
      <c r="A128" t="s">
        <v>203</v>
      </c>
      <c r="B128" s="3" t="s">
        <v>204</v>
      </c>
      <c r="C128" t="s">
        <v>38</v>
      </c>
      <c r="D128" s="1" t="s">
        <v>188</v>
      </c>
      <c r="E128" s="1">
        <v>159</v>
      </c>
      <c r="F128">
        <f t="shared" si="7"/>
        <v>3.000232043957006</v>
      </c>
    </row>
    <row r="129" spans="1:6">
      <c r="A129" t="s">
        <v>100</v>
      </c>
      <c r="B129" s="3" t="s">
        <v>101</v>
      </c>
      <c r="C129" t="s">
        <v>38</v>
      </c>
      <c r="D129" s="1" t="s">
        <v>188</v>
      </c>
      <c r="E129" s="1">
        <v>300</v>
      </c>
      <c r="F129">
        <f t="shared" si="7"/>
        <v>3.0004378187868039</v>
      </c>
    </row>
    <row r="130" spans="1:6">
      <c r="A130" t="s">
        <v>74</v>
      </c>
      <c r="B130" s="3" t="s">
        <v>75</v>
      </c>
      <c r="C130" t="s">
        <v>38</v>
      </c>
      <c r="D130" s="1" t="s">
        <v>188</v>
      </c>
      <c r="E130" s="1">
        <v>30</v>
      </c>
      <c r="F130">
        <f t="shared" si="7"/>
        <v>3.0000437818786803</v>
      </c>
    </row>
    <row r="131" spans="1:6">
      <c r="A131" t="s">
        <v>205</v>
      </c>
      <c r="B131" s="3" t="s">
        <v>206</v>
      </c>
      <c r="C131" t="s">
        <v>38</v>
      </c>
      <c r="D131" s="1" t="s">
        <v>188</v>
      </c>
      <c r="E131" s="1">
        <v>20</v>
      </c>
      <c r="F131">
        <f t="shared" si="7"/>
        <v>3.0000291879191203</v>
      </c>
    </row>
    <row r="132" spans="1:6">
      <c r="A132" t="s">
        <v>144</v>
      </c>
      <c r="B132" s="3" t="s">
        <v>207</v>
      </c>
      <c r="C132" t="s">
        <v>38</v>
      </c>
      <c r="D132" s="1" t="s">
        <v>188</v>
      </c>
      <c r="E132" s="1">
        <v>12</v>
      </c>
      <c r="F132">
        <f t="shared" si="7"/>
        <v>3.0000175127514721</v>
      </c>
    </row>
    <row r="133" spans="1:6">
      <c r="A133" t="s">
        <v>208</v>
      </c>
      <c r="B133" s="3" t="s">
        <v>209</v>
      </c>
      <c r="C133" t="s">
        <v>38</v>
      </c>
      <c r="D133" s="1" t="s">
        <v>188</v>
      </c>
      <c r="E133" s="1">
        <v>300</v>
      </c>
      <c r="F133">
        <f t="shared" si="7"/>
        <v>3.0004378187868039</v>
      </c>
    </row>
    <row r="134" spans="1:6">
      <c r="A134" t="s">
        <v>203</v>
      </c>
      <c r="B134" s="3" t="s">
        <v>204</v>
      </c>
      <c r="C134" t="s">
        <v>38</v>
      </c>
      <c r="D134" s="1" t="s">
        <v>188</v>
      </c>
      <c r="E134" s="1">
        <v>13</v>
      </c>
      <c r="F134">
        <f t="shared" si="7"/>
        <v>3.0000189721474282</v>
      </c>
    </row>
  </sheetData>
  <autoFilter ref="A1:S134" xr:uid="{A5A8E3BF-2420-4D76-ABA2-B31C4883FF1C}">
    <filterColumn colId="4">
      <filters>
        <filter val="100"/>
        <filter val="10024"/>
        <filter val="1079"/>
        <filter val="11"/>
        <filter val="1160"/>
        <filter val="11846"/>
        <filter val="12"/>
        <filter val="12000"/>
        <filter val="13"/>
        <filter val="1379"/>
        <filter val="1432"/>
        <filter val="1438"/>
        <filter val="148"/>
        <filter val="15000"/>
        <filter val="1541"/>
        <filter val="1557"/>
        <filter val="159"/>
        <filter val="163"/>
        <filter val="1703"/>
        <filter val="1740"/>
        <filter val="17500"/>
        <filter val="18000"/>
        <filter val="1802"/>
        <filter val="20"/>
        <filter val="200"/>
        <filter val="2000"/>
        <filter val="20000"/>
        <filter val="2004"/>
        <filter val="2061"/>
        <filter val="2136"/>
        <filter val="22000"/>
        <filter val="23400"/>
        <filter val="25000"/>
        <filter val="2519"/>
        <filter val="26"/>
        <filter val="27500"/>
        <filter val="2847"/>
        <filter val="2900"/>
        <filter val="2914"/>
        <filter val="30"/>
        <filter val="300"/>
        <filter val="3000"/>
        <filter val="3005"/>
        <filter val="30700"/>
        <filter val="3256"/>
        <filter val="33"/>
        <filter val="3887"/>
        <filter val="4"/>
        <filter val="400"/>
        <filter val="4000"/>
        <filter val="40611"/>
        <filter val="421"/>
        <filter val="423"/>
        <filter val="456"/>
        <filter val="47"/>
        <filter val="4924"/>
        <filter val="5"/>
        <filter val="50"/>
        <filter val="500"/>
        <filter val="5000"/>
        <filter val="5113"/>
        <filter val="5181"/>
        <filter val="5318"/>
        <filter val="548"/>
        <filter val="5500"/>
        <filter val="55000"/>
        <filter val="558"/>
        <filter val="5668"/>
        <filter val="579"/>
        <filter val="5866"/>
        <filter val="600"/>
        <filter val="6000"/>
        <filter val="6055"/>
        <filter val="609"/>
        <filter val="6098"/>
        <filter val="615"/>
        <filter val="6264"/>
        <filter val="6300"/>
        <filter val="6492"/>
        <filter val="6500"/>
        <filter val="680"/>
        <filter val="70"/>
        <filter val="700"/>
        <filter val="7000"/>
        <filter val="752"/>
        <filter val="8000"/>
        <filter val="821"/>
        <filter val="8500"/>
        <filter val="9"/>
        <filter val="900"/>
        <filter val="9000"/>
        <filter val="9119"/>
        <filter val="9200"/>
        <filter val="9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Balbir Singh Tomar</dc:creator>
  <cp:keywords/>
  <dc:description/>
  <cp:lastModifiedBy/>
  <cp:revision/>
  <dcterms:created xsi:type="dcterms:W3CDTF">2026-04-30T13:31:04Z</dcterms:created>
  <dcterms:modified xsi:type="dcterms:W3CDTF">2026-05-11T07:04:00Z</dcterms:modified>
  <cp:category/>
  <cp:contentStatus/>
</cp:coreProperties>
</file>